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2.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pivotTables/pivotTable10.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Documents\"/>
    </mc:Choice>
  </mc:AlternateContent>
  <bookViews>
    <workbookView xWindow="0" yWindow="0" windowWidth="23040" windowHeight="10524" tabRatio="793" firstSheet="6" activeTab="10"/>
  </bookViews>
  <sheets>
    <sheet name="Sheet2" sheetId="7" r:id="rId1"/>
    <sheet name="Sheet1" sheetId="8" r:id="rId2"/>
    <sheet name="Sheet3" sheetId="9" r:id="rId3"/>
    <sheet name="Sheet4" sheetId="10" r:id="rId4"/>
    <sheet name="Sheet5" sheetId="11" r:id="rId5"/>
    <sheet name="high`value and low value" sheetId="12" r:id="rId6"/>
    <sheet name="Sales dy State" sheetId="14" r:id="rId7"/>
    <sheet name="Top five Product Name" sheetId="15" r:id="rId8"/>
    <sheet name="Discount Impact Analysis" sheetId="16" r:id="rId9"/>
    <sheet name="Data Analysis" sheetId="21" r:id="rId10"/>
    <sheet name="supermarket_data" sheetId="1" r:id="rId11"/>
    <sheet name="total sales by month" sheetId="3" r:id="rId12"/>
    <sheet name="Average order value by city" sheetId="4" r:id="rId13"/>
    <sheet name="category wise quantity sold" sheetId="5" r:id="rId14"/>
  </sheets>
  <definedNames>
    <definedName name="Slicer_Category">#N/A</definedName>
    <definedName name="Slicer_City">#N/A</definedName>
    <definedName name="Slicer_Gender">#N/A</definedName>
    <definedName name="Slicer_month">#N/A</definedName>
    <definedName name="Slicer_Product_Name">#N/A</definedName>
    <definedName name="Slicer_weekend__weekday">#N/A</definedName>
  </definedNames>
  <calcPr calcId="152511"/>
  <pivotCaches>
    <pivotCache cacheId="7"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 i="1"/>
  <c r="G3" i="1" l="1"/>
  <c r="G4" i="1"/>
  <c r="G5" i="1"/>
  <c r="G6" i="1"/>
  <c r="G7" i="1"/>
  <c r="G8" i="1"/>
  <c r="G9" i="1"/>
  <c r="G10" i="1"/>
  <c r="G11" i="1"/>
  <c r="G12" i="1"/>
  <c r="G13" i="1"/>
  <c r="G14" i="1"/>
  <c r="G15" i="1"/>
  <c r="G16" i="1"/>
  <c r="G17" i="1"/>
  <c r="G18" i="1"/>
  <c r="G19" i="1"/>
  <c r="G20" i="1"/>
  <c r="G21" i="1"/>
  <c r="G22" i="1"/>
  <c r="G23" i="1"/>
  <c r="G24" i="1"/>
  <c r="G25" i="1"/>
  <c r="G26" i="1"/>
  <c r="G2" i="1"/>
  <c r="F27" i="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 i="1"/>
  <c r="F2" i="1" s="1"/>
  <c r="O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<sst xmlns="http://schemas.openxmlformats.org/spreadsheetml/2006/main" count="221" uniqueCount="98">
  <si>
    <t>Invoice_ID</t>
  </si>
  <si>
    <t>Invoice Date</t>
  </si>
  <si>
    <t>City</t>
  </si>
  <si>
    <t>State</t>
  </si>
  <si>
    <t>Product_Name</t>
  </si>
  <si>
    <t>Category</t>
  </si>
  <si>
    <t>Quantity</t>
  </si>
  <si>
    <t>Unit_Cost</t>
  </si>
  <si>
    <t>Discount</t>
  </si>
  <si>
    <t>INV001</t>
  </si>
  <si>
    <t>Amit Kulkarni</t>
  </si>
  <si>
    <t>Male</t>
  </si>
  <si>
    <t>Pune</t>
  </si>
  <si>
    <t>Maharashtra</t>
  </si>
  <si>
    <t>Rice</t>
  </si>
  <si>
    <t>Grocery</t>
  </si>
  <si>
    <t>INV002</t>
  </si>
  <si>
    <t>Female</t>
  </si>
  <si>
    <t>Wheat</t>
  </si>
  <si>
    <t>INV003</t>
  </si>
  <si>
    <t>Delhi</t>
  </si>
  <si>
    <t>Sugar</t>
  </si>
  <si>
    <t>INV004</t>
  </si>
  <si>
    <t>Bangalore</t>
  </si>
  <si>
    <t>Milk</t>
  </si>
  <si>
    <t>Dairy</t>
  </si>
  <si>
    <t>INV005</t>
  </si>
  <si>
    <t>Chennai</t>
  </si>
  <si>
    <t>Tamil Nadu</t>
  </si>
  <si>
    <t>Cheese</t>
  </si>
  <si>
    <t>dairy</t>
  </si>
  <si>
    <t>INV006</t>
  </si>
  <si>
    <t>Hyderbad</t>
  </si>
  <si>
    <t>Butter</t>
  </si>
  <si>
    <t>INV007</t>
  </si>
  <si>
    <t>Jaipur</t>
  </si>
  <si>
    <t>Rajasthan</t>
  </si>
  <si>
    <t>Bread</t>
  </si>
  <si>
    <t>Bakery</t>
  </si>
  <si>
    <t>INV008</t>
  </si>
  <si>
    <t>Ahmedabad</t>
  </si>
  <si>
    <t>Gujarat</t>
  </si>
  <si>
    <t>Cake</t>
  </si>
  <si>
    <t>INV009</t>
  </si>
  <si>
    <t>INV010</t>
  </si>
  <si>
    <t>Mumbai</t>
  </si>
  <si>
    <t>INV011</t>
  </si>
  <si>
    <t>INV012</t>
  </si>
  <si>
    <t>Nagpur</t>
  </si>
  <si>
    <t>INV013</t>
  </si>
  <si>
    <t>Indore</t>
  </si>
  <si>
    <t>INV014</t>
  </si>
  <si>
    <t>Surat</t>
  </si>
  <si>
    <t>INV015</t>
  </si>
  <si>
    <t>INV016</t>
  </si>
  <si>
    <t>INV017</t>
  </si>
  <si>
    <t>INV018</t>
  </si>
  <si>
    <t>Kochi</t>
  </si>
  <si>
    <t>INV019</t>
  </si>
  <si>
    <t>Patna</t>
  </si>
  <si>
    <t>INV020</t>
  </si>
  <si>
    <t>Kolkata</t>
  </si>
  <si>
    <t>INV021</t>
  </si>
  <si>
    <t>Bhopal</t>
  </si>
  <si>
    <t>INV022</t>
  </si>
  <si>
    <t>INV023</t>
  </si>
  <si>
    <t>INV024</t>
  </si>
  <si>
    <t>INV025</t>
  </si>
  <si>
    <t>day</t>
  </si>
  <si>
    <t>month</t>
  </si>
  <si>
    <t>Row Labels</t>
  </si>
  <si>
    <t>Jan</t>
  </si>
  <si>
    <t>Feb</t>
  </si>
  <si>
    <t>Mar</t>
  </si>
  <si>
    <t>Apr</t>
  </si>
  <si>
    <t>Jun</t>
  </si>
  <si>
    <t>Jul</t>
  </si>
  <si>
    <t>Aug</t>
  </si>
  <si>
    <t>Sep</t>
  </si>
  <si>
    <t>Oct</t>
  </si>
  <si>
    <t>Nov</t>
  </si>
  <si>
    <t>Dec</t>
  </si>
  <si>
    <t>Grand Total</t>
  </si>
  <si>
    <t>Sum of total sales</t>
  </si>
  <si>
    <t>Sum of Quantity</t>
  </si>
  <si>
    <t>Sum of net sales</t>
  </si>
  <si>
    <t>High</t>
  </si>
  <si>
    <t>Low</t>
  </si>
  <si>
    <t>Count of Invoice_ID</t>
  </si>
  <si>
    <t>Average of net sales</t>
  </si>
  <si>
    <t>suppermart data analysis</t>
  </si>
  <si>
    <t>weekday/weekend</t>
  </si>
  <si>
    <t>total cost</t>
  </si>
  <si>
    <t>discount value</t>
  </si>
  <si>
    <t>net sales</t>
  </si>
  <si>
    <t>High orlaw value order</t>
  </si>
  <si>
    <t>Gende</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</si>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</sst>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d\-mmm\-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Algerian"/>
      <family val="5"/>
    </font>
    <font>
      <sz val="11"/>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15" fontId="0" fillId="0" borderId="0" xfId="0" applyNumberFormat="1"/>
    <xf numFmtId="9" fontId="0" fillId="0" borderId="0" xfId="0" applyNumberFormat="1"/>
    <xf numFmtId="0" fontId="18" fillId="0" borderId="0" xfId="0" applyFont="1" applyAlignment="1">
      <alignment horizont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Tamil Nadu</c:v>
                </c:pt>
                <c:pt idx="1">
                  <c:v>Gujarat</c:v>
                </c:pt>
                <c:pt idx="2">
                  <c:v>Rajasthan</c:v>
                </c:pt>
                <c:pt idx="3">
                  <c:v>Delhi</c:v>
                </c:pt>
                <c:pt idx="4">
                  <c:v>Maharashtra</c:v>
                </c:pt>
              </c:strCache>
            </c:strRef>
          </c:cat>
          <c:val>
            <c:numRef>
              <c:f>Sheet2!$B$4:$B$8</c:f>
              <c:numCache>
                <c:formatCode>General</c:formatCode>
                <c:ptCount val="5"/>
                <c:pt idx="0">
                  <c:v>374</c:v>
                </c:pt>
                <c:pt idx="1">
                  <c:v>430</c:v>
                </c:pt>
                <c:pt idx="2">
                  <c:v>545</c:v>
                </c:pt>
                <c:pt idx="3">
                  <c:v>876</c:v>
                </c:pt>
                <c:pt idx="4">
                  <c:v>4779</c:v>
                </c:pt>
              </c:numCache>
            </c:numRef>
          </c:val>
        </c:ser>
        <c:dLbls>
          <c:showLegendKey val="0"/>
          <c:showVal val="0"/>
          <c:showCatName val="0"/>
          <c:showSerName val="0"/>
          <c:showPercent val="0"/>
          <c:showBubbleSize val="0"/>
        </c:dLbls>
        <c:gapWidth val="182"/>
        <c:axId val="574325904"/>
        <c:axId val="574326296"/>
      </c:barChart>
      <c:catAx>
        <c:axId val="5743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6296"/>
        <c:crosses val="autoZero"/>
        <c:auto val="1"/>
        <c:lblAlgn val="ctr"/>
        <c:lblOffset val="100"/>
        <c:noMultiLvlLbl val="0"/>
      </c:catAx>
      <c:valAx>
        <c:axId val="574326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59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clean.xlsx]Sheet1!PivotTable3</c:name>
    <c:fmtId val="1"/>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Sheet1!$A$4:$A$12</c:f>
              <c:strCache>
                <c:ptCount val="8"/>
                <c:pt idx="0">
                  <c:v>Bread</c:v>
                </c:pt>
                <c:pt idx="1">
                  <c:v>Butter</c:v>
                </c:pt>
                <c:pt idx="2">
                  <c:v>Cake</c:v>
                </c:pt>
                <c:pt idx="3">
                  <c:v>Cheese</c:v>
                </c:pt>
                <c:pt idx="4">
                  <c:v>Milk</c:v>
                </c:pt>
                <c:pt idx="5">
                  <c:v>Rice</c:v>
                </c:pt>
                <c:pt idx="6">
                  <c:v>Sugar</c:v>
                </c:pt>
                <c:pt idx="7">
                  <c:v>Wheat</c:v>
                </c:pt>
              </c:strCache>
            </c:strRef>
          </c:cat>
          <c:val>
            <c:numRef>
              <c:f>Sheet1!$B$4:$B$12</c:f>
              <c:numCache>
                <c:formatCode>General</c:formatCode>
                <c:ptCount val="8"/>
                <c:pt idx="0">
                  <c:v>315</c:v>
                </c:pt>
                <c:pt idx="1">
                  <c:v>1080</c:v>
                </c:pt>
                <c:pt idx="2">
                  <c:v>1800</c:v>
                </c:pt>
                <c:pt idx="3">
                  <c:v>660</c:v>
                </c:pt>
                <c:pt idx="4">
                  <c:v>3220</c:v>
                </c:pt>
                <c:pt idx="5">
                  <c:v>1140</c:v>
                </c:pt>
                <c:pt idx="6">
                  <c:v>315</c:v>
                </c:pt>
                <c:pt idx="7">
                  <c:v>330</c:v>
                </c:pt>
              </c:numCache>
            </c:numRef>
          </c:val>
        </c:ser>
        <c:dLbls>
          <c:showLegendKey val="0"/>
          <c:showVal val="0"/>
          <c:showCatName val="0"/>
          <c:showSerName val="0"/>
          <c:showPercent val="0"/>
          <c:showBubbleSize val="0"/>
        </c:dLbls>
        <c:gapWidth val="219"/>
        <c:overlap val="-27"/>
        <c:axId val="574327080"/>
        <c:axId val="574328648"/>
      </c:barChart>
      <c:catAx>
        <c:axId val="57432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8648"/>
        <c:crosses val="autoZero"/>
        <c:auto val="1"/>
        <c:lblAlgn val="ctr"/>
        <c:lblOffset val="100"/>
        <c:noMultiLvlLbl val="0"/>
      </c:catAx>
      <c:valAx>
        <c:axId val="574328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7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clean.xlsx]Sheet3!PivotTable4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Sheet3!$A$4:$A$19</c:f>
              <c:strCache>
                <c:ptCount val="15"/>
                <c:pt idx="0">
                  <c:v>Ahmedabad</c:v>
                </c:pt>
                <c:pt idx="1">
                  <c:v>Bangalore</c:v>
                </c:pt>
                <c:pt idx="2">
                  <c:v>Bhopal</c:v>
                </c:pt>
                <c:pt idx="3">
                  <c:v>Chennai</c:v>
                </c:pt>
                <c:pt idx="4">
                  <c:v>Delhi</c:v>
                </c:pt>
                <c:pt idx="5">
                  <c:v>Hyderbad</c:v>
                </c:pt>
                <c:pt idx="6">
                  <c:v>Indore</c:v>
                </c:pt>
                <c:pt idx="7">
                  <c:v>Jaipur</c:v>
                </c:pt>
                <c:pt idx="8">
                  <c:v>Kochi</c:v>
                </c:pt>
                <c:pt idx="9">
                  <c:v>Kolkata</c:v>
                </c:pt>
                <c:pt idx="10">
                  <c:v>Mumbai</c:v>
                </c:pt>
                <c:pt idx="11">
                  <c:v>Nagpur</c:v>
                </c:pt>
                <c:pt idx="12">
                  <c:v>Patna</c:v>
                </c:pt>
                <c:pt idx="13">
                  <c:v>Pune</c:v>
                </c:pt>
                <c:pt idx="14">
                  <c:v>Surat</c:v>
                </c:pt>
              </c:strCache>
            </c:strRef>
          </c:cat>
          <c:val>
            <c:numRef>
              <c:f>Sheet3!$B$4:$B$19</c:f>
              <c:numCache>
                <c:formatCode>General</c:formatCode>
                <c:ptCount val="15"/>
                <c:pt idx="0">
                  <c:v>360</c:v>
                </c:pt>
                <c:pt idx="1">
                  <c:v>308</c:v>
                </c:pt>
                <c:pt idx="2">
                  <c:v>105</c:v>
                </c:pt>
                <c:pt idx="3">
                  <c:v>374</c:v>
                </c:pt>
                <c:pt idx="4">
                  <c:v>876</c:v>
                </c:pt>
                <c:pt idx="5">
                  <c:v>171</c:v>
                </c:pt>
                <c:pt idx="6">
                  <c:v>220</c:v>
                </c:pt>
                <c:pt idx="7">
                  <c:v>545</c:v>
                </c:pt>
                <c:pt idx="8">
                  <c:v>228</c:v>
                </c:pt>
                <c:pt idx="9">
                  <c:v>90</c:v>
                </c:pt>
                <c:pt idx="10">
                  <c:v>3226.75</c:v>
                </c:pt>
                <c:pt idx="11">
                  <c:v>128.25</c:v>
                </c:pt>
                <c:pt idx="12">
                  <c:v>110</c:v>
                </c:pt>
                <c:pt idx="13">
                  <c:v>1424</c:v>
                </c:pt>
                <c:pt idx="14">
                  <c:v>70</c:v>
                </c:pt>
              </c:numCache>
            </c:numRef>
          </c:val>
        </c:ser>
        <c:dLbls>
          <c:showLegendKey val="0"/>
          <c:showVal val="0"/>
          <c:showCatName val="0"/>
          <c:showSerName val="0"/>
          <c:showPercent val="0"/>
          <c:showBubbleSize val="0"/>
        </c:dLbls>
        <c:gapWidth val="182"/>
        <c:axId val="574329040"/>
        <c:axId val="574329824"/>
      </c:barChart>
      <c:catAx>
        <c:axId val="5743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9824"/>
        <c:crosses val="autoZero"/>
        <c:auto val="1"/>
        <c:lblAlgn val="ctr"/>
        <c:lblOffset val="100"/>
        <c:noMultiLvlLbl val="0"/>
      </c:catAx>
      <c:valAx>
        <c:axId val="57432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2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clean.xlsx]high`value and low value!PivotTable7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v/s low value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'high`value and low value'!$B$3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'high`value and low value'!$A$4:$A$6</c:f>
              <c:strCache>
                <c:ptCount val="2"/>
                <c:pt idx="0">
                  <c:v>High</c:v>
                </c:pt>
                <c:pt idx="1">
                  <c:v>Low</c:v>
                </c:pt>
              </c:strCache>
            </c:strRef>
          </c:cat>
          <c:val>
            <c:numRef>
              <c:f>'high`value and low value'!$B$4:$B$6</c:f>
              <c:numCache>
                <c:formatCode>General</c:formatCode>
                <c:ptCount val="2"/>
                <c:pt idx="0">
                  <c:v>13</c:v>
                </c:pt>
                <c:pt idx="1">
                  <c:v>12</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clean.xlsx]Sales dy State!PivotTable3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dy State'!$B$3</c:f>
              <c:strCache>
                <c:ptCount val="1"/>
                <c:pt idx="0">
                  <c:v>Total</c:v>
                </c:pt>
              </c:strCache>
            </c:strRef>
          </c:tx>
          <c:spPr>
            <a:solidFill>
              <a:schemeClr val="accent1"/>
            </a:solidFill>
            <a:ln>
              <a:noFill/>
            </a:ln>
            <a:effectLst/>
          </c:spPr>
          <c:invertIfNegative val="0"/>
          <c:cat>
            <c:strRef>
              <c:f>'Sales dy State'!$A$4:$A$8</c:f>
              <c:strCache>
                <c:ptCount val="5"/>
                <c:pt idx="0">
                  <c:v>Tamil Nadu</c:v>
                </c:pt>
                <c:pt idx="1">
                  <c:v>Gujarat</c:v>
                </c:pt>
                <c:pt idx="2">
                  <c:v>Rajasthan</c:v>
                </c:pt>
                <c:pt idx="3">
                  <c:v>Delhi</c:v>
                </c:pt>
                <c:pt idx="4">
                  <c:v>Maharashtra</c:v>
                </c:pt>
              </c:strCache>
            </c:strRef>
          </c:cat>
          <c:val>
            <c:numRef>
              <c:f>'Sales dy State'!$B$4:$B$8</c:f>
              <c:numCache>
                <c:formatCode>General</c:formatCode>
                <c:ptCount val="5"/>
                <c:pt idx="0">
                  <c:v>374</c:v>
                </c:pt>
                <c:pt idx="1">
                  <c:v>430</c:v>
                </c:pt>
                <c:pt idx="2">
                  <c:v>545</c:v>
                </c:pt>
                <c:pt idx="3">
                  <c:v>876</c:v>
                </c:pt>
                <c:pt idx="4">
                  <c:v>4779</c:v>
                </c:pt>
              </c:numCache>
            </c:numRef>
          </c:val>
        </c:ser>
        <c:dLbls>
          <c:showLegendKey val="0"/>
          <c:showVal val="0"/>
          <c:showCatName val="0"/>
          <c:showSerName val="0"/>
          <c:showPercent val="0"/>
          <c:showBubbleSize val="0"/>
        </c:dLbls>
        <c:gapWidth val="219"/>
        <c:axId val="574338056"/>
        <c:axId val="574338448"/>
      </c:barChart>
      <c:catAx>
        <c:axId val="57433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8448"/>
        <c:crosses val="autoZero"/>
        <c:auto val="1"/>
        <c:lblAlgn val="ctr"/>
        <c:lblOffset val="100"/>
        <c:noMultiLvlLbl val="0"/>
      </c:catAx>
      <c:valAx>
        <c:axId val="57433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8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clean.xlsx]Top five Product Name!PivotTable5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five Product Name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'Top five Product Name'!$B$3</c:f>
              <c:strCache>
                <c:ptCount val="1"/>
                <c:pt idx="0">
                  <c:v>Total</c:v>
                </c:pt>
              </c:strCache>
            </c:strRef>
          </c:tx>
          <c:spPr>
            <a:solidFill>
              <a:schemeClr val="accent1"/>
            </a:solidFill>
            <a:ln>
              <a:noFill/>
            </a:ln>
            <a:effectLst/>
          </c:spPr>
          <c:invertIfNegative val="0"/>
          <c:cat>
            <c:strRef>
              <c:f>'Top five Product Name'!$A$4:$A$11</c:f>
              <c:strCache>
                <c:ptCount val="8"/>
                <c:pt idx="0">
                  <c:v>Sugar</c:v>
                </c:pt>
                <c:pt idx="1">
                  <c:v>Bread</c:v>
                </c:pt>
                <c:pt idx="2">
                  <c:v>Wheat</c:v>
                </c:pt>
                <c:pt idx="3">
                  <c:v>Cheese</c:v>
                </c:pt>
                <c:pt idx="4">
                  <c:v>Butter</c:v>
                </c:pt>
                <c:pt idx="5">
                  <c:v>Rice</c:v>
                </c:pt>
                <c:pt idx="6">
                  <c:v>Cake</c:v>
                </c:pt>
                <c:pt idx="7">
                  <c:v>Milk</c:v>
                </c:pt>
              </c:strCache>
            </c:strRef>
          </c:cat>
          <c:val>
            <c:numRef>
              <c:f>'Top five Product Name'!$B$4:$B$11</c:f>
              <c:numCache>
                <c:formatCode>General</c:formatCode>
                <c:ptCount val="8"/>
                <c:pt idx="0">
                  <c:v>308.25</c:v>
                </c:pt>
                <c:pt idx="1">
                  <c:v>315</c:v>
                </c:pt>
                <c:pt idx="2">
                  <c:v>321.75</c:v>
                </c:pt>
                <c:pt idx="3">
                  <c:v>594</c:v>
                </c:pt>
                <c:pt idx="4">
                  <c:v>999</c:v>
                </c:pt>
                <c:pt idx="5">
                  <c:v>1038</c:v>
                </c:pt>
                <c:pt idx="6">
                  <c:v>1440</c:v>
                </c:pt>
                <c:pt idx="7">
                  <c:v>3220</c:v>
                </c:pt>
              </c:numCache>
            </c:numRef>
          </c:val>
        </c:ser>
        <c:dLbls>
          <c:showLegendKey val="0"/>
          <c:showVal val="0"/>
          <c:showCatName val="0"/>
          <c:showSerName val="0"/>
          <c:showPercent val="0"/>
          <c:showBubbleSize val="0"/>
        </c:dLbls>
        <c:gapWidth val="219"/>
        <c:overlap val="-27"/>
        <c:axId val="574337272"/>
        <c:axId val="574336096"/>
      </c:barChart>
      <c:catAx>
        <c:axId val="57433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6096"/>
        <c:crosses val="autoZero"/>
        <c:auto val="1"/>
        <c:lblAlgn val="ctr"/>
        <c:lblOffset val="100"/>
        <c:noMultiLvlLbl val="0"/>
      </c:catAx>
      <c:valAx>
        <c:axId val="57433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7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clean.xlsx]Discount Impact 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Impact Analysis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'Discount Impact Analysis'!$B$3</c:f>
              <c:strCache>
                <c:ptCount val="1"/>
                <c:pt idx="0">
                  <c:v>Total</c:v>
                </c:pt>
              </c:strCache>
            </c:strRef>
          </c:tx>
          <c:spPr>
            <a:ln w="28575" cap="rnd">
              <a:solidFill>
                <a:schemeClr val="accent1"/>
              </a:solidFill>
              <a:round/>
            </a:ln>
            <a:effectLst/>
          </c:spPr>
          <c:marker>
            <c:symbol val="none"/>
          </c:marker>
          <c:cat>
            <c:strRef>
              <c:f>'Discount Impact Analysis'!$A$4:$A$14</c:f>
              <c:strCache>
                <c:ptCount val="11"/>
                <c:pt idx="0">
                  <c:v>6.75</c:v>
                </c:pt>
                <c:pt idx="1">
                  <c:v>8.25</c:v>
                </c:pt>
                <c:pt idx="2">
                  <c:v>9</c:v>
                </c:pt>
                <c:pt idx="3">
                  <c:v>12</c:v>
                </c:pt>
                <c:pt idx="4">
                  <c:v>18</c:v>
                </c:pt>
                <c:pt idx="5">
                  <c:v>30</c:v>
                </c:pt>
                <c:pt idx="6">
                  <c:v>45</c:v>
                </c:pt>
                <c:pt idx="7">
                  <c:v>54</c:v>
                </c:pt>
                <c:pt idx="8">
                  <c:v>66</c:v>
                </c:pt>
                <c:pt idx="9">
                  <c:v>90</c:v>
                </c:pt>
                <c:pt idx="10">
                  <c:v>225</c:v>
                </c:pt>
              </c:strCache>
            </c:strRef>
          </c:cat>
          <c:val>
            <c:numRef>
              <c:f>'Discount Impact Analysis'!$B$4:$B$14</c:f>
              <c:numCache>
                <c:formatCode>General</c:formatCode>
                <c:ptCount val="11"/>
                <c:pt idx="0">
                  <c:v>128.25</c:v>
                </c:pt>
                <c:pt idx="1">
                  <c:v>156.75</c:v>
                </c:pt>
                <c:pt idx="2">
                  <c:v>171</c:v>
                </c:pt>
                <c:pt idx="3">
                  <c:v>228</c:v>
                </c:pt>
                <c:pt idx="4">
                  <c:v>342</c:v>
                </c:pt>
                <c:pt idx="5">
                  <c:v>810</c:v>
                </c:pt>
                <c:pt idx="6">
                  <c:v>405</c:v>
                </c:pt>
                <c:pt idx="7">
                  <c:v>486</c:v>
                </c:pt>
                <c:pt idx="8">
                  <c:v>374</c:v>
                </c:pt>
                <c:pt idx="9">
                  <c:v>360</c:v>
                </c:pt>
                <c:pt idx="10">
                  <c:v>675</c:v>
                </c:pt>
              </c:numCache>
            </c:numRef>
          </c:val>
          <c:smooth val="0"/>
        </c:ser>
        <c:dLbls>
          <c:showLegendKey val="0"/>
          <c:showVal val="0"/>
          <c:showCatName val="0"/>
          <c:showSerName val="0"/>
          <c:showPercent val="0"/>
          <c:showBubbleSize val="0"/>
        </c:dLbls>
        <c:smooth val="0"/>
        <c:axId val="574335312"/>
        <c:axId val="471533440"/>
      </c:lineChart>
      <c:catAx>
        <c:axId val="57433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3440"/>
        <c:crosses val="autoZero"/>
        <c:auto val="1"/>
        <c:lblAlgn val="ctr"/>
        <c:lblOffset val="100"/>
        <c:noMultiLvlLbl val="0"/>
      </c:catAx>
      <c:valAx>
        <c:axId val="47153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clean.xlsx]total sales by 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6.4568956777398531E-2"/>
          <c:y val="0.13406640793445451"/>
          <c:w val="0.90538812476766584"/>
          <c:h val="0.74002471877302534"/>
        </c:manualLayout>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month'!$A$4:$A$15</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'total sales by month'!$B$4:$B$15</c:f>
              <c:numCache>
                <c:formatCode>General</c:formatCode>
                <c:ptCount val="11"/>
                <c:pt idx="0">
                  <c:v>300</c:v>
                </c:pt>
                <c:pt idx="1">
                  <c:v>6846</c:v>
                </c:pt>
                <c:pt idx="2">
                  <c:v>90</c:v>
                </c:pt>
                <c:pt idx="3">
                  <c:v>308</c:v>
                </c:pt>
                <c:pt idx="4">
                  <c:v>180</c:v>
                </c:pt>
                <c:pt idx="5">
                  <c:v>140</c:v>
                </c:pt>
                <c:pt idx="6">
                  <c:v>450</c:v>
                </c:pt>
                <c:pt idx="7">
                  <c:v>56</c:v>
                </c:pt>
                <c:pt idx="8">
                  <c:v>300</c:v>
                </c:pt>
                <c:pt idx="9">
                  <c:v>55</c:v>
                </c:pt>
                <c:pt idx="10">
                  <c:v>135</c:v>
                </c:pt>
              </c:numCache>
            </c:numRef>
          </c:val>
          <c:smooth val="0"/>
          <c:extLst xmlns:c16r2="http://schemas.microsoft.com/office/drawing/2015/06/chart">
            <c:ext xmlns:c16="http://schemas.microsoft.com/office/drawing/2014/chart" uri="{C3380CC4-5D6E-409C-BE32-E72D297353CC}">
              <c16:uniqueId val="{00000000-69AC-4908-9E63-766C6D82727F}"/>
            </c:ext>
          </c:extLst>
        </c:ser>
        <c:dLbls>
          <c:showLegendKey val="0"/>
          <c:showVal val="0"/>
          <c:showCatName val="0"/>
          <c:showSerName val="0"/>
          <c:showPercent val="0"/>
          <c:showBubbleSize val="0"/>
        </c:dLbls>
        <c:smooth val="0"/>
        <c:axId val="471535792"/>
        <c:axId val="471532264"/>
      </c:lineChart>
      <c:catAx>
        <c:axId val="47153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2264"/>
        <c:crosses val="autoZero"/>
        <c:auto val="1"/>
        <c:lblAlgn val="ctr"/>
        <c:lblOffset val="100"/>
        <c:noMultiLvlLbl val="0"/>
      </c:catAx>
      <c:valAx>
        <c:axId val="471532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57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clean.xlsx]Average order value by city!PivotTable2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order value by city</a:t>
            </a:r>
            <a:endParaRPr lang="en-US"/>
          </a:p>
        </c:rich>
      </c:tx>
      <c:layout>
        <c:manualLayout>
          <c:xMode val="edge"/>
          <c:yMode val="edge"/>
          <c:x val="0.143076627616669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'Average order value by city'!$B$3</c:f>
              <c:strCache>
                <c:ptCount val="1"/>
                <c:pt idx="0">
                  <c:v>Total</c:v>
                </c:pt>
              </c:strCache>
            </c:strRef>
          </c:tx>
          <c:spPr>
            <a:solidFill>
              <a:schemeClr val="accent1"/>
            </a:solidFill>
            <a:ln>
              <a:noFill/>
            </a:ln>
            <a:effectLst/>
          </c:spPr>
          <c:invertIfNegative val="0"/>
          <c:cat>
            <c:strRef>
              <c:f>'Average order value by city'!$A$4:$A$18</c:f>
              <c:strCache>
                <c:ptCount val="15"/>
                <c:pt idx="0">
                  <c:v>Mumbai</c:v>
                </c:pt>
                <c:pt idx="1">
                  <c:v>Chennai</c:v>
                </c:pt>
                <c:pt idx="2">
                  <c:v>Ahmedabad</c:v>
                </c:pt>
                <c:pt idx="3">
                  <c:v>Bangalore</c:v>
                </c:pt>
                <c:pt idx="4">
                  <c:v>Pune</c:v>
                </c:pt>
                <c:pt idx="5">
                  <c:v>Jaipur</c:v>
                </c:pt>
                <c:pt idx="6">
                  <c:v>Kochi</c:v>
                </c:pt>
                <c:pt idx="7">
                  <c:v>Indore</c:v>
                </c:pt>
                <c:pt idx="8">
                  <c:v>Delhi</c:v>
                </c:pt>
                <c:pt idx="9">
                  <c:v>Hyderbad</c:v>
                </c:pt>
                <c:pt idx="10">
                  <c:v>Nagpur</c:v>
                </c:pt>
                <c:pt idx="11">
                  <c:v>Patna</c:v>
                </c:pt>
                <c:pt idx="12">
                  <c:v>Bhopal</c:v>
                </c:pt>
                <c:pt idx="13">
                  <c:v>Kolkata</c:v>
                </c:pt>
                <c:pt idx="14">
                  <c:v>Surat</c:v>
                </c:pt>
              </c:strCache>
            </c:strRef>
          </c:cat>
          <c:val>
            <c:numRef>
              <c:f>'Average order value by city'!$B$4:$B$18</c:f>
              <c:numCache>
                <c:formatCode>General</c:formatCode>
                <c:ptCount val="15"/>
                <c:pt idx="0">
                  <c:v>1075.5833333333333</c:v>
                </c:pt>
                <c:pt idx="1">
                  <c:v>374</c:v>
                </c:pt>
                <c:pt idx="2">
                  <c:v>360</c:v>
                </c:pt>
                <c:pt idx="3">
                  <c:v>308</c:v>
                </c:pt>
                <c:pt idx="4">
                  <c:v>284.8</c:v>
                </c:pt>
                <c:pt idx="5">
                  <c:v>272.5</c:v>
                </c:pt>
                <c:pt idx="6">
                  <c:v>228</c:v>
                </c:pt>
                <c:pt idx="7">
                  <c:v>220</c:v>
                </c:pt>
                <c:pt idx="8">
                  <c:v>219</c:v>
                </c:pt>
                <c:pt idx="9">
                  <c:v>171</c:v>
                </c:pt>
                <c:pt idx="10">
                  <c:v>128.25</c:v>
                </c:pt>
                <c:pt idx="11">
                  <c:v>110</c:v>
                </c:pt>
                <c:pt idx="12">
                  <c:v>105</c:v>
                </c:pt>
                <c:pt idx="13">
                  <c:v>90</c:v>
                </c:pt>
                <c:pt idx="14">
                  <c:v>70</c:v>
                </c:pt>
              </c:numCache>
            </c:numRef>
          </c:val>
        </c:ser>
        <c:dLbls>
          <c:showLegendKey val="0"/>
          <c:showVal val="0"/>
          <c:showCatName val="0"/>
          <c:showSerName val="0"/>
          <c:showPercent val="0"/>
          <c:showBubbleSize val="0"/>
        </c:dLbls>
        <c:gapWidth val="150"/>
        <c:axId val="471536968"/>
        <c:axId val="471537752"/>
      </c:barChart>
      <c:catAx>
        <c:axId val="47153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7752"/>
        <c:crosses val="autoZero"/>
        <c:auto val="1"/>
        <c:lblAlgn val="ctr"/>
        <c:lblOffset val="100"/>
        <c:noMultiLvlLbl val="0"/>
      </c:catAx>
      <c:valAx>
        <c:axId val="471537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6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clean.xlsx]category wise quantity sold!PivotTable3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Quantity Sold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6.67421967937461E-2"/>
              <c:y val="-0.2443005249343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0341717177439151"/>
                  <c:h val="0.10404166666666667"/>
                </c:manualLayout>
              </c15:layout>
            </c:ext>
          </c:extLst>
        </c:dLbl>
      </c:pivotFmt>
      <c:pivotFmt>
        <c:idx val="11"/>
        <c:spPr>
          <a:solidFill>
            <a:schemeClr val="accent1"/>
          </a:solidFill>
          <a:ln w="19050">
            <a:solidFill>
              <a:schemeClr val="lt1"/>
            </a:solidFill>
          </a:ln>
          <a:effectLst/>
        </c:spPr>
      </c:pivotFmt>
    </c:pivotFmts>
    <c:plotArea>
      <c:layout/>
      <c:pieChart>
        <c:varyColors val="1"/>
        <c:ser>
          <c:idx val="0"/>
          <c:order val="0"/>
          <c:tx>
            <c:strRef>
              <c:f>'category wise quantity sold'!$B$3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5544-40BD-A28A-19976C7FE0A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2-1241-40E6-820E-7D0B9FCE3F64}"/>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5544-40BD-A28A-19976C7FE0AE}"/>
              </c:ext>
            </c:extLst>
          </c:dPt>
          <c:dLbls>
            <c:dLbl>
              <c:idx val="1"/>
              <c:layout>
                <c:manualLayout>
                  <c:x val="-6.67421967937461E-2"/>
                  <c:y val="-0.244300524934383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0341717177439151"/>
                      <c:h val="0.1040416666666666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'category wise quantity sold'!$A$4:$A$7</c:f>
              <c:strCache>
                <c:ptCount val="3"/>
                <c:pt idx="0">
                  <c:v>Bakery</c:v>
                </c:pt>
                <c:pt idx="1">
                  <c:v>Dairy</c:v>
                </c:pt>
                <c:pt idx="2">
                  <c:v>Grocery</c:v>
                </c:pt>
              </c:strCache>
            </c:strRef>
          </c:cat>
          <c:val>
            <c:numRef>
              <c:f>'category wise quantity sold'!$B$4:$B$7</c:f>
              <c:numCache>
                <c:formatCode>General</c:formatCode>
                <c:ptCount val="3"/>
                <c:pt idx="0">
                  <c:v>13</c:v>
                </c:pt>
                <c:pt idx="1">
                  <c:v>124</c:v>
                </c:pt>
                <c:pt idx="2">
                  <c:v>32</c:v>
                </c:pt>
              </c:numCache>
            </c:numRef>
          </c:val>
          <c:extLst xmlns:c16r2="http://schemas.microsoft.com/office/drawing/2015/06/chart">
            <c:ext xmlns:c16="http://schemas.microsoft.com/office/drawing/2014/chart" uri="{C3380CC4-5D6E-409C-BE32-E72D297353CC}">
              <c16:uniqueId val="{00000000-1241-40E6-820E-7D0B9FCE3F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clean.xlsx]Discount Impact 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Impact Analysis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8.2040215684336532E-2"/>
          <c:y val="0.15253378378378379"/>
          <c:w val="0.87498692644444109"/>
          <c:h val="0.66053903312761586"/>
        </c:manualLayout>
      </c:layout>
      <c:lineChart>
        <c:grouping val="standard"/>
        <c:varyColors val="0"/>
        <c:ser>
          <c:idx val="0"/>
          <c:order val="0"/>
          <c:tx>
            <c:strRef>
              <c:f>'Discount Impact Analysis'!$B$3</c:f>
              <c:strCache>
                <c:ptCount val="1"/>
                <c:pt idx="0">
                  <c:v>Total</c:v>
                </c:pt>
              </c:strCache>
            </c:strRef>
          </c:tx>
          <c:spPr>
            <a:ln w="28575" cap="rnd">
              <a:solidFill>
                <a:schemeClr val="accent1"/>
              </a:solidFill>
              <a:round/>
            </a:ln>
            <a:effectLst/>
          </c:spPr>
          <c:marker>
            <c:symbol val="none"/>
          </c:marker>
          <c:cat>
            <c:strRef>
              <c:f>'Discount Impact Analysis'!$A$4:$A$14</c:f>
              <c:strCache>
                <c:ptCount val="11"/>
                <c:pt idx="0">
                  <c:v>6.75</c:v>
                </c:pt>
                <c:pt idx="1">
                  <c:v>8.25</c:v>
                </c:pt>
                <c:pt idx="2">
                  <c:v>9</c:v>
                </c:pt>
                <c:pt idx="3">
                  <c:v>12</c:v>
                </c:pt>
                <c:pt idx="4">
                  <c:v>18</c:v>
                </c:pt>
                <c:pt idx="5">
                  <c:v>30</c:v>
                </c:pt>
                <c:pt idx="6">
                  <c:v>45</c:v>
                </c:pt>
                <c:pt idx="7">
                  <c:v>54</c:v>
                </c:pt>
                <c:pt idx="8">
                  <c:v>66</c:v>
                </c:pt>
                <c:pt idx="9">
                  <c:v>90</c:v>
                </c:pt>
                <c:pt idx="10">
                  <c:v>225</c:v>
                </c:pt>
              </c:strCache>
            </c:strRef>
          </c:cat>
          <c:val>
            <c:numRef>
              <c:f>'Discount Impact Analysis'!$B$4:$B$14</c:f>
              <c:numCache>
                <c:formatCode>General</c:formatCode>
                <c:ptCount val="11"/>
                <c:pt idx="0">
                  <c:v>128.25</c:v>
                </c:pt>
                <c:pt idx="1">
                  <c:v>156.75</c:v>
                </c:pt>
                <c:pt idx="2">
                  <c:v>171</c:v>
                </c:pt>
                <c:pt idx="3">
                  <c:v>228</c:v>
                </c:pt>
                <c:pt idx="4">
                  <c:v>342</c:v>
                </c:pt>
                <c:pt idx="5">
                  <c:v>810</c:v>
                </c:pt>
                <c:pt idx="6">
                  <c:v>405</c:v>
                </c:pt>
                <c:pt idx="7">
                  <c:v>486</c:v>
                </c:pt>
                <c:pt idx="8">
                  <c:v>374</c:v>
                </c:pt>
                <c:pt idx="9">
                  <c:v>360</c:v>
                </c:pt>
                <c:pt idx="10">
                  <c:v>675</c:v>
                </c:pt>
              </c:numCache>
            </c:numRef>
          </c:val>
          <c:smooth val="0"/>
        </c:ser>
        <c:dLbls>
          <c:showLegendKey val="0"/>
          <c:showVal val="0"/>
          <c:showCatName val="0"/>
          <c:showSerName val="0"/>
          <c:showPercent val="0"/>
          <c:showBubbleSize val="0"/>
        </c:dLbls>
        <c:smooth val="0"/>
        <c:axId val="463230144"/>
        <c:axId val="371825872"/>
      </c:lineChart>
      <c:catAx>
        <c:axId val="46323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25872"/>
        <c:crosses val="autoZero"/>
        <c:auto val="1"/>
        <c:lblAlgn val="ctr"/>
        <c:lblOffset val="100"/>
        <c:noMultiLvlLbl val="0"/>
      </c:catAx>
      <c:valAx>
        <c:axId val="37182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30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[nitin supper marcket Data clean.xlsx]Top five Product Name!PivotTable5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five Product Name</a:t>
            </a:r>
            <a:endParaRPr lang="en-US"/>
          </a:p>
        </c:rich>
      </c:tx>
      <c:layout>
        <c:manualLayout>
          <c:xMode val="edge"/>
          <c:yMode val="edge"/>
          <c:x val="0.24690459147152061"/>
          <c:y val="3.47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3891399938644033"/>
          <c:y val="0.2297916666666667"/>
          <c:w val="0.84880269595930136"/>
          <c:h val="0.64383147419072617"/>
        </c:manualLayout>
      </c:layout>
      <c:barChart>
        <c:barDir val="col"/>
        <c:grouping val="clustered"/>
        <c:varyColors val="0"/>
        <c:ser>
          <c:idx val="0"/>
          <c:order val="0"/>
          <c:tx>
            <c:strRef>
              <c:f>'Top five Product Name'!$B$3</c:f>
              <c:strCache>
                <c:ptCount val="1"/>
                <c:pt idx="0">
                  <c:v>Total</c:v>
                </c:pt>
              </c:strCache>
            </c:strRef>
          </c:tx>
          <c:spPr>
            <a:solidFill>
              <a:schemeClr val="accent1"/>
            </a:solidFill>
            <a:ln>
              <a:noFill/>
            </a:ln>
            <a:effectLst/>
          </c:spPr>
          <c:invertIfNegative val="0"/>
          <c:cat>
            <c:strRef>
              <c:f>'Top five Product Name'!$A$4:$A$11</c:f>
              <c:strCache>
                <c:ptCount val="8"/>
                <c:pt idx="0">
                  <c:v>Sugar</c:v>
                </c:pt>
                <c:pt idx="1">
                  <c:v>Bread</c:v>
                </c:pt>
                <c:pt idx="2">
                  <c:v>Wheat</c:v>
                </c:pt>
                <c:pt idx="3">
                  <c:v>Cheese</c:v>
                </c:pt>
                <c:pt idx="4">
                  <c:v>Butter</c:v>
                </c:pt>
                <c:pt idx="5">
                  <c:v>Rice</c:v>
                </c:pt>
                <c:pt idx="6">
                  <c:v>Cake</c:v>
                </c:pt>
                <c:pt idx="7">
                  <c:v>Milk</c:v>
                </c:pt>
              </c:strCache>
            </c:strRef>
          </c:cat>
          <c:val>
            <c:numRef>
              <c:f>'Top five Product Name'!$B$4:$B$11</c:f>
              <c:numCache>
                <c:formatCode>General</c:formatCode>
                <c:ptCount val="8"/>
                <c:pt idx="0">
                  <c:v>308.25</c:v>
                </c:pt>
                <c:pt idx="1">
                  <c:v>315</c:v>
                </c:pt>
                <c:pt idx="2">
                  <c:v>321.75</c:v>
                </c:pt>
                <c:pt idx="3">
                  <c:v>594</c:v>
                </c:pt>
                <c:pt idx="4">
                  <c:v>999</c:v>
                </c:pt>
                <c:pt idx="5">
                  <c:v>1038</c:v>
                </c:pt>
                <c:pt idx="6">
                  <c:v>1440</c:v>
                </c:pt>
                <c:pt idx="7">
                  <c:v>3220</c:v>
                </c:pt>
              </c:numCache>
            </c:numRef>
          </c:val>
        </c:ser>
        <c:dLbls>
          <c:showLegendKey val="0"/>
          <c:showVal val="0"/>
          <c:showCatName val="0"/>
          <c:showSerName val="0"/>
          <c:showPercent val="0"/>
          <c:showBubbleSize val="0"/>
        </c:dLbls>
        <c:gapWidth val="219"/>
        <c:overlap val="-27"/>
        <c:axId val="598291728"/>
        <c:axId val="598293296"/>
      </c:barChart>
      <c:catAx>
        <c:axId val="5982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3296"/>
        <c:crosses val="autoZero"/>
        <c:auto val="1"/>
        <c:lblAlgn val="ctr"/>
        <c:lblOffset val="100"/>
        <c:noMultiLvlLbl val="0"/>
      </c:catAx>
      <c:valAx>
        <c:axId val="59829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1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[nitin supper marcket Data clean.xlsx]Sales dy State!PivotTable3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8152482199170947"/>
          <c:y val="0.22478787878787881"/>
          <c:w val="0.65499910747932322"/>
          <c:h val="0.63461655929372462"/>
        </c:manualLayout>
      </c:layout>
      <c:barChart>
        <c:barDir val="bar"/>
        <c:grouping val="clustered"/>
        <c:varyColors val="0"/>
        <c:ser>
          <c:idx val="0"/>
          <c:order val="0"/>
          <c:tx>
            <c:strRef>
              <c:f>'Sales dy State'!$B$3</c:f>
              <c:strCache>
                <c:ptCount val="1"/>
                <c:pt idx="0">
                  <c:v>Total</c:v>
                </c:pt>
              </c:strCache>
            </c:strRef>
          </c:tx>
          <c:spPr>
            <a:solidFill>
              <a:schemeClr val="accent1"/>
            </a:solidFill>
            <a:ln>
              <a:noFill/>
            </a:ln>
            <a:effectLst/>
          </c:spPr>
          <c:invertIfNegative val="0"/>
          <c:cat>
            <c:strRef>
              <c:f>'Sales dy State'!$A$4:$A$8</c:f>
              <c:strCache>
                <c:ptCount val="5"/>
                <c:pt idx="0">
                  <c:v>Tamil Nadu</c:v>
                </c:pt>
                <c:pt idx="1">
                  <c:v>Gujarat</c:v>
                </c:pt>
                <c:pt idx="2">
                  <c:v>Rajasthan</c:v>
                </c:pt>
                <c:pt idx="3">
                  <c:v>Delhi</c:v>
                </c:pt>
                <c:pt idx="4">
                  <c:v>Maharashtra</c:v>
                </c:pt>
              </c:strCache>
            </c:strRef>
          </c:cat>
          <c:val>
            <c:numRef>
              <c:f>'Sales dy State'!$B$4:$B$8</c:f>
              <c:numCache>
                <c:formatCode>General</c:formatCode>
                <c:ptCount val="5"/>
                <c:pt idx="0">
                  <c:v>374</c:v>
                </c:pt>
                <c:pt idx="1">
                  <c:v>430</c:v>
                </c:pt>
                <c:pt idx="2">
                  <c:v>545</c:v>
                </c:pt>
                <c:pt idx="3">
                  <c:v>876</c:v>
                </c:pt>
                <c:pt idx="4">
                  <c:v>4779</c:v>
                </c:pt>
              </c:numCache>
            </c:numRef>
          </c:val>
        </c:ser>
        <c:dLbls>
          <c:showLegendKey val="0"/>
          <c:showVal val="0"/>
          <c:showCatName val="0"/>
          <c:showSerName val="0"/>
          <c:showPercent val="0"/>
          <c:showBubbleSize val="0"/>
        </c:dLbls>
        <c:gapWidth val="219"/>
        <c:axId val="598286632"/>
        <c:axId val="598282712"/>
      </c:barChart>
      <c:catAx>
        <c:axId val="598286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82712"/>
        <c:crosses val="autoZero"/>
        <c:auto val="1"/>
        <c:lblAlgn val="ctr"/>
        <c:lblOffset val="100"/>
        <c:noMultiLvlLbl val="0"/>
      </c:catAx>
      <c:valAx>
        <c:axId val="598282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86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[nitin supper marcket Data clean.xlsx]high`value and low value!PivotTable7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v/s low value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'high`value and low value'!$B$3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'high`value and low value'!$A$4:$A$6</c:f>
              <c:strCache>
                <c:ptCount val="2"/>
                <c:pt idx="0">
                  <c:v>High</c:v>
                </c:pt>
                <c:pt idx="1">
                  <c:v>Low</c:v>
                </c:pt>
              </c:strCache>
            </c:strRef>
          </c:cat>
          <c:val>
            <c:numRef>
              <c:f>'high`value and low value'!$B$4:$B$6</c:f>
              <c:numCache>
                <c:formatCode>General</c:formatCode>
                <c:ptCount val="2"/>
                <c:pt idx="0">
                  <c:v>13</c:v>
                </c:pt>
                <c:pt idx="1">
                  <c:v>12</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clean.xlsx]total 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6.4568956777398531E-2"/>
          <c:y val="0.13406640793445451"/>
          <c:w val="0.90538812476766584"/>
          <c:h val="0.74002471877302534"/>
        </c:manualLayout>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month'!$A$4:$A$15</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'total sales by month'!$B$4:$B$15</c:f>
              <c:numCache>
                <c:formatCode>General</c:formatCode>
                <c:ptCount val="11"/>
                <c:pt idx="0">
                  <c:v>300</c:v>
                </c:pt>
                <c:pt idx="1">
                  <c:v>6846</c:v>
                </c:pt>
                <c:pt idx="2">
                  <c:v>90</c:v>
                </c:pt>
                <c:pt idx="3">
                  <c:v>308</c:v>
                </c:pt>
                <c:pt idx="4">
                  <c:v>180</c:v>
                </c:pt>
                <c:pt idx="5">
                  <c:v>140</c:v>
                </c:pt>
                <c:pt idx="6">
                  <c:v>450</c:v>
                </c:pt>
                <c:pt idx="7">
                  <c:v>56</c:v>
                </c:pt>
                <c:pt idx="8">
                  <c:v>300</c:v>
                </c:pt>
                <c:pt idx="9">
                  <c:v>55</c:v>
                </c:pt>
                <c:pt idx="10">
                  <c:v>135</c:v>
                </c:pt>
              </c:numCache>
            </c:numRef>
          </c:val>
          <c:smooth val="0"/>
          <c:extLst xmlns:c16r2="http://schemas.microsoft.com/office/drawing/2015/06/chart">
            <c:ext xmlns:c16="http://schemas.microsoft.com/office/drawing/2014/chart" uri="{C3380CC4-5D6E-409C-BE32-E72D297353CC}">
              <c16:uniqueId val="{00000000-69AC-4908-9E63-766C6D82727F}"/>
            </c:ext>
          </c:extLst>
        </c:ser>
        <c:dLbls>
          <c:showLegendKey val="0"/>
          <c:showVal val="0"/>
          <c:showCatName val="0"/>
          <c:showSerName val="0"/>
          <c:showPercent val="0"/>
          <c:showBubbleSize val="0"/>
        </c:dLbls>
        <c:smooth val="0"/>
        <c:axId val="598292904"/>
        <c:axId val="598290944"/>
      </c:lineChart>
      <c:catAx>
        <c:axId val="59829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0944"/>
        <c:crosses val="autoZero"/>
        <c:auto val="1"/>
        <c:lblAlgn val="ctr"/>
        <c:lblOffset val="100"/>
        <c:noMultiLvlLbl val="0"/>
      </c:catAx>
      <c:valAx>
        <c:axId val="59829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29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clean.xlsx]Average order value by city!PivotTable2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order value by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'Average order value by city'!$B$3</c:f>
              <c:strCache>
                <c:ptCount val="1"/>
                <c:pt idx="0">
                  <c:v>Total</c:v>
                </c:pt>
              </c:strCache>
            </c:strRef>
          </c:tx>
          <c:spPr>
            <a:solidFill>
              <a:schemeClr val="accent1"/>
            </a:solidFill>
            <a:ln>
              <a:noFill/>
            </a:ln>
            <a:effectLst/>
          </c:spPr>
          <c:invertIfNegative val="0"/>
          <c:cat>
            <c:strRef>
              <c:f>'Average order value by city'!$A$4:$A$18</c:f>
              <c:strCache>
                <c:ptCount val="15"/>
                <c:pt idx="0">
                  <c:v>Mumbai</c:v>
                </c:pt>
                <c:pt idx="1">
                  <c:v>Chennai</c:v>
                </c:pt>
                <c:pt idx="2">
                  <c:v>Ahmedabad</c:v>
                </c:pt>
                <c:pt idx="3">
                  <c:v>Bangalore</c:v>
                </c:pt>
                <c:pt idx="4">
                  <c:v>Pune</c:v>
                </c:pt>
                <c:pt idx="5">
                  <c:v>Jaipur</c:v>
                </c:pt>
                <c:pt idx="6">
                  <c:v>Kochi</c:v>
                </c:pt>
                <c:pt idx="7">
                  <c:v>Indore</c:v>
                </c:pt>
                <c:pt idx="8">
                  <c:v>Delhi</c:v>
                </c:pt>
                <c:pt idx="9">
                  <c:v>Hyderbad</c:v>
                </c:pt>
                <c:pt idx="10">
                  <c:v>Nagpur</c:v>
                </c:pt>
                <c:pt idx="11">
                  <c:v>Patna</c:v>
                </c:pt>
                <c:pt idx="12">
                  <c:v>Bhopal</c:v>
                </c:pt>
                <c:pt idx="13">
                  <c:v>Kolkata</c:v>
                </c:pt>
                <c:pt idx="14">
                  <c:v>Surat</c:v>
                </c:pt>
              </c:strCache>
            </c:strRef>
          </c:cat>
          <c:val>
            <c:numRef>
              <c:f>'Average order value by city'!$B$4:$B$18</c:f>
              <c:numCache>
                <c:formatCode>General</c:formatCode>
                <c:ptCount val="15"/>
                <c:pt idx="0">
                  <c:v>1075.5833333333333</c:v>
                </c:pt>
                <c:pt idx="1">
                  <c:v>374</c:v>
                </c:pt>
                <c:pt idx="2">
                  <c:v>360</c:v>
                </c:pt>
                <c:pt idx="3">
                  <c:v>308</c:v>
                </c:pt>
                <c:pt idx="4">
                  <c:v>284.8</c:v>
                </c:pt>
                <c:pt idx="5">
                  <c:v>272.5</c:v>
                </c:pt>
                <c:pt idx="6">
                  <c:v>228</c:v>
                </c:pt>
                <c:pt idx="7">
                  <c:v>220</c:v>
                </c:pt>
                <c:pt idx="8">
                  <c:v>219</c:v>
                </c:pt>
                <c:pt idx="9">
                  <c:v>171</c:v>
                </c:pt>
                <c:pt idx="10">
                  <c:v>128.25</c:v>
                </c:pt>
                <c:pt idx="11">
                  <c:v>110</c:v>
                </c:pt>
                <c:pt idx="12">
                  <c:v>105</c:v>
                </c:pt>
                <c:pt idx="13">
                  <c:v>90</c:v>
                </c:pt>
                <c:pt idx="14">
                  <c:v>70</c:v>
                </c:pt>
              </c:numCache>
            </c:numRef>
          </c:val>
        </c:ser>
        <c:dLbls>
          <c:showLegendKey val="0"/>
          <c:showVal val="0"/>
          <c:showCatName val="0"/>
          <c:showSerName val="0"/>
          <c:showPercent val="0"/>
          <c:showBubbleSize val="0"/>
        </c:dLbls>
        <c:gapWidth val="150"/>
        <c:axId val="598294080"/>
        <c:axId val="598285064"/>
      </c:barChart>
      <c:catAx>
        <c:axId val="59829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85064"/>
        <c:crosses val="autoZero"/>
        <c:auto val="1"/>
        <c:lblAlgn val="ctr"/>
        <c:lblOffset val="100"/>
        <c:noMultiLvlLbl val="0"/>
      </c:catAx>
      <c:valAx>
        <c:axId val="598285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4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[nitin supper marcket Data clean.xlsx]category wise quantity sold!PivotTable3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7421967937461E-2"/>
              <c:y val="-0.2443005249343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xmlns:c16r2="http://schemas.microsoft.com/office/drawing/2015/06/chart">
            <c:ext xmlns:c15="http://schemas.microsoft.com/office/drawing/2012/chart" uri="{CE6537A1-D6FC-4f65-9D91-7224C49458BB}">
              <c15:layout>
                <c:manualLayout>
                  <c:w val="0.10341717177439151"/>
                  <c:h val="0.10404166666666667"/>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'category wise quantity sold'!$B$3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5544-40BD-A28A-19976C7FE0A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2-1241-40E6-820E-7D0B9FCE3F64}"/>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5544-40BD-A28A-19976C7FE0AE}"/>
              </c:ext>
            </c:extLst>
          </c:dPt>
          <c:dLbls>
            <c:dLbl>
              <c:idx val="1"/>
              <c:layout>
                <c:manualLayout>
                  <c:x val="-6.67421967937461E-2"/>
                  <c:y val="-0.2443005249343832"/>
                </c:manualLayout>
              </c:layout>
              <c:showLegendKey val="0"/>
              <c:showVal val="1"/>
              <c:showCatName val="1"/>
              <c:showSerName val="0"/>
              <c:showPercent val="0"/>
              <c:showBubbleSize val="0"/>
              <c:separator>
</c:separator>
              <c:extLst xmlns:c16r2="http://schemas.microsoft.com/office/drawing/2015/06/chart">
                <c:ext xmlns:c15="http://schemas.microsoft.com/office/drawing/2012/chart" uri="{CE6537A1-D6FC-4f65-9D91-7224C49458BB}">
                  <c15:layout>
                    <c:manualLayout>
                      <c:w val="0.10341717177439151"/>
                      <c:h val="0.1040416666666666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quantity sold'!$A$4:$A$7</c:f>
              <c:strCache>
                <c:ptCount val="3"/>
                <c:pt idx="0">
                  <c:v>Bakery</c:v>
                </c:pt>
                <c:pt idx="1">
                  <c:v>Dairy</c:v>
                </c:pt>
                <c:pt idx="2">
                  <c:v>Grocery</c:v>
                </c:pt>
              </c:strCache>
            </c:strRef>
          </c:cat>
          <c:val>
            <c:numRef>
              <c:f>'category wise quantity sold'!$B$4:$B$7</c:f>
              <c:numCache>
                <c:formatCode>General</c:formatCode>
                <c:ptCount val="3"/>
                <c:pt idx="0">
                  <c:v>13</c:v>
                </c:pt>
                <c:pt idx="1">
                  <c:v>124</c:v>
                </c:pt>
                <c:pt idx="2">
                  <c:v>32</c:v>
                </c:pt>
              </c:numCache>
            </c:numRef>
          </c:val>
          <c:extLst xmlns:c16r2="http://schemas.microsoft.com/office/drawing/2015/06/chart">
            <c:ext xmlns:c16="http://schemas.microsoft.com/office/drawing/2014/chart" uri="{C3380CC4-5D6E-409C-BE32-E72D297353CC}">
              <c16:uniqueId val="{00000000-1241-40E6-820E-7D0B9FCE3F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400050</xdr:colOff>
      <xdr:row>2</xdr:row>
      <xdr:rowOff>19050</xdr:rowOff>
    </xdr:from>
    <xdr:to>
      <xdr:col>10</xdr:col>
      <xdr:colOff>95250</xdr:colOff>
      <xdr:row>17</xdr:row>
      <xdr:rowOff>0</xdr:rowOff>
    </xdr:to>
    <xdr:graphicFrame macro="">
      <xdr:nvGraphicFramePr>
        <xdr:cNvPr id="2" name="Chart 1">
          <a:extLst>
            <a:ext uri="{FF2B5EF4-FFF2-40B4-BE49-F238E27FC236}">
              <a16:creationId xmlns:a16="http://schemas.microsoft.com/office/drawing/2014/main" xmlns="" id="{A9951D46-E5B5-7F2D-6ACA-AA7B71CB5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4</xdr:row>
      <xdr:rowOff>129540</xdr:rowOff>
    </xdr:from>
    <xdr:to>
      <xdr:col>9</xdr:col>
      <xdr:colOff>381000</xdr:colOff>
      <xdr:row>19</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10</xdr:row>
      <xdr:rowOff>30480</xdr:rowOff>
    </xdr:from>
    <xdr:to>
      <xdr:col>10</xdr:col>
      <xdr:colOff>381000</xdr:colOff>
      <xdr:row>25</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480060</xdr:colOff>
      <xdr:row>6</xdr:row>
      <xdr:rowOff>121920</xdr:rowOff>
    </xdr:from>
    <xdr:to>
      <xdr:col>6</xdr:col>
      <xdr:colOff>525780</xdr:colOff>
      <xdr:row>21</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419100</xdr:colOff>
      <xdr:row>7</xdr:row>
      <xdr:rowOff>0</xdr:rowOff>
    </xdr:from>
    <xdr:to>
      <xdr:col>13</xdr:col>
      <xdr:colOff>83820</xdr:colOff>
      <xdr:row>21</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213360</xdr:colOff>
      <xdr:row>10</xdr:row>
      <xdr:rowOff>30480</xdr:rowOff>
    </xdr:from>
    <xdr:to>
      <xdr:col>12</xdr:col>
      <xdr:colOff>518160</xdr:colOff>
      <xdr:row>25</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7620</xdr:colOff>
      <xdr:row>10</xdr:row>
      <xdr:rowOff>30480</xdr:rowOff>
    </xdr:from>
    <xdr:to>
      <xdr:col>14</xdr:col>
      <xdr:colOff>312420</xdr:colOff>
      <xdr:row>25</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68580</xdr:rowOff>
    </xdr:from>
    <xdr:to>
      <xdr:col>5</xdr:col>
      <xdr:colOff>152400</xdr:colOff>
      <xdr:row>17</xdr:row>
      <xdr:rowOff>7620</xdr:rowOff>
    </xdr:to>
    <xdr:graphicFrame macro="">
      <xdr:nvGraphicFramePr>
        <xdr:cNvPr id="5" name="Chart 4">
          <a:extLst>
            <a:ext uri="{FF2B5EF4-FFF2-40B4-BE49-F238E27FC236}">
              <a16:creationId xmlns:a16="http://schemas.microsoft.com/office/drawing/2014/main" xmlns="" id="{18B9DE22-4E9F-640C-8B69-D5AE34440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6</xdr:row>
      <xdr:rowOff>137160</xdr:rowOff>
    </xdr:from>
    <xdr:to>
      <xdr:col>9</xdr:col>
      <xdr:colOff>190500</xdr:colOff>
      <xdr:row>17</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106680</xdr:rowOff>
    </xdr:from>
    <xdr:to>
      <xdr:col>7</xdr:col>
      <xdr:colOff>434340</xdr:colOff>
      <xdr:row>31</xdr:row>
      <xdr:rowOff>175260</xdr:rowOff>
    </xdr:to>
    <xdr:graphicFrame macro="">
      <xdr:nvGraphicFramePr>
        <xdr:cNvPr id="9" name="Chart 8">
          <a:extLst>
            <a:ext uri="{FF2B5EF4-FFF2-40B4-BE49-F238E27FC236}">
              <a16:creationId xmlns:a16="http://schemas.microsoft.com/office/drawing/2014/main" xmlns="" id="{BA9937EF-2291-6530-EBEB-710DD6251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106680</xdr:colOff>
      <xdr:row>6</xdr:row>
      <xdr:rowOff>121920</xdr:rowOff>
    </xdr:from>
    <xdr:to>
      <xdr:col>15</xdr:col>
      <xdr:colOff>91440</xdr:colOff>
      <xdr:row>19</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579120</xdr:colOff>
      <xdr:row>18</xdr:row>
      <xdr:rowOff>114300</xdr:rowOff>
    </xdr:from>
    <xdr:to>
      <xdr:col>15</xdr:col>
      <xdr:colOff>464820</xdr:colOff>
      <xdr:row>28</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68580</xdr:rowOff>
    </xdr:from>
    <xdr:to>
      <xdr:col>4</xdr:col>
      <xdr:colOff>586740</xdr:colOff>
      <xdr:row>43</xdr:row>
      <xdr:rowOff>152400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411480</xdr:colOff>
      <xdr:row>17</xdr:row>
      <xdr:rowOff>121920</xdr:rowOff>
    </xdr:from>
    <xdr:to>
      <xdr:col>10</xdr:col>
      <xdr:colOff>548640</xdr:colOff>
      <xdr:row>29</xdr:row>
      <xdr:rowOff>38100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68580</xdr:colOff>
      <xdr:row>14</xdr:row>
      <xdr:rowOff>60960</xdr:rowOff>
    </xdr:from>
    <xdr:to>
      <xdr:col>18</xdr:col>
      <xdr:colOff>68580</xdr:colOff>
      <xdr:row>17</xdr:row>
      <xdr:rowOff>121920</xdr:rowOff>
    </xdr:to>
    <mc:AlternateContent xmlns:mc="http://schemas.openxmlformats.org/markup-compatibility/2006" xmlns:a14="http://schemas.microsoft.com/office/drawing/2010/main">
      <mc:Choice Requires="a14">
        <xdr:graphicFrame macro="">
          <xdr:nvGraphicFramePr>
            <xdr:cNvPr id="26" name="weekend /weekday"/>
            <xdr:cNvGraphicFramePr/>
          </xdr:nvGraphicFramePr>
          <xdr:xfrm>
            <a:off x="0" y="0"/>
            <a:ext cx="0" cy="0"/>
          </xdr:xfrm>
          <a:graphic>
            <a:graphicData uri="http://schemas.microsoft.com/office/drawing/2010/slicer">
              <sle:slicer xmlns:sle="http://schemas.microsoft.com/office/drawing/2010/slicer" name="weekend /weekday"/>
            </a:graphicData>
          </a:graphic>
        </xdr:graphicFrame>
      </mc:Choice>
      <mc:Fallback xmlns="">
        <xdr:sp macro="" textlink="">
          <xdr:nvSpPr>
            <xdr:cNvPr id="0" name=""/>
            <xdr:cNvSpPr>
              <a:spLocks noTextEdit="1"/>
            </xdr:cNvSpPr>
          </xdr:nvSpPr>
          <xdr:spPr>
            <a:xfrm>
              <a:off x="9212580" y="2621280"/>
              <a:ext cx="182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68580</xdr:colOff>
      <xdr:row>17</xdr:row>
      <xdr:rowOff>175260</xdr:rowOff>
    </xdr:from>
    <xdr:to>
      <xdr:col>18</xdr:col>
      <xdr:colOff>68580</xdr:colOff>
      <xdr:row>21</xdr:row>
      <xdr:rowOff>144779</xdr:rowOff>
    </xdr:to>
    <mc:AlternateContent xmlns:mc="http://schemas.openxmlformats.org/markup-compatibility/2006" xmlns:a14="http://schemas.microsoft.com/office/drawing/2010/main">
      <mc:Choice Requires="a14">
        <xdr:graphicFrame macro="">
          <xdr:nvGraphicFramePr>
            <xdr:cNvPr id="2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12580" y="3284220"/>
              <a:ext cx="182880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10</xdr:row>
      <xdr:rowOff>91440</xdr:rowOff>
    </xdr:from>
    <xdr:to>
      <xdr:col>18</xdr:col>
      <xdr:colOff>76200</xdr:colOff>
      <xdr:row>14</xdr:row>
      <xdr:rowOff>15240</xdr:rowOff>
    </xdr:to>
    <mc:AlternateContent xmlns:mc="http://schemas.openxmlformats.org/markup-compatibility/2006" xmlns:a14="http://schemas.microsoft.com/office/drawing/2010/main">
      <mc:Choice Requires="a14">
        <xdr:graphicFrame macro="">
          <xdr:nvGraphicFramePr>
            <xdr:cNvPr id="2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20200" y="1920240"/>
              <a:ext cx="18288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6</xdr:row>
      <xdr:rowOff>152400</xdr:rowOff>
    </xdr:from>
    <xdr:to>
      <xdr:col>18</xdr:col>
      <xdr:colOff>76200</xdr:colOff>
      <xdr:row>10</xdr:row>
      <xdr:rowOff>68580</xdr:rowOff>
    </xdr:to>
    <mc:AlternateContent xmlns:mc="http://schemas.openxmlformats.org/markup-compatibility/2006" xmlns:a14="http://schemas.microsoft.com/office/drawing/2010/main">
      <mc:Choice Requires="a14">
        <xdr:graphicFrame macro="">
          <xdr:nvGraphicFramePr>
            <xdr:cNvPr id="2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220200" y="1249680"/>
              <a:ext cx="18288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3</xdr:row>
      <xdr:rowOff>60960</xdr:rowOff>
    </xdr:from>
    <xdr:to>
      <xdr:col>18</xdr:col>
      <xdr:colOff>60960</xdr:colOff>
      <xdr:row>6</xdr:row>
      <xdr:rowOff>175259</xdr:rowOff>
    </xdr:to>
    <mc:AlternateContent xmlns:mc="http://schemas.openxmlformats.org/markup-compatibility/2006" xmlns:a14="http://schemas.microsoft.com/office/drawing/2010/main">
      <mc:Choice Requires="a14">
        <xdr:graphicFrame macro="">
          <xdr:nvGraphicFramePr>
            <xdr:cNvPr id="30"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204960" y="609600"/>
              <a:ext cx="182880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0</xdr:row>
      <xdr:rowOff>1</xdr:rowOff>
    </xdr:from>
    <xdr:to>
      <xdr:col>18</xdr:col>
      <xdr:colOff>38100</xdr:colOff>
      <xdr:row>3</xdr:row>
      <xdr:rowOff>15241</xdr:rowOff>
    </xdr:to>
    <mc:AlternateContent xmlns:mc="http://schemas.openxmlformats.org/markup-compatibility/2006" xmlns:a14="http://schemas.microsoft.com/office/drawing/2010/main">
      <mc:Choice Requires="a14">
        <xdr:graphicFrame macro="">
          <xdr:nvGraphicFramePr>
            <xdr:cNvPr id="3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82100" y="1"/>
              <a:ext cx="182880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101600</xdr:colOff>
      <xdr:row>1</xdr:row>
      <xdr:rowOff>95250</xdr:rowOff>
    </xdr:from>
    <xdr:to>
      <xdr:col>12</xdr:col>
      <xdr:colOff>533400</xdr:colOff>
      <xdr:row>17</xdr:row>
      <xdr:rowOff>114300</xdr:rowOff>
    </xdr:to>
    <xdr:graphicFrame macro="">
      <xdr:nvGraphicFramePr>
        <xdr:cNvPr id="2" name="Chart 1">
          <a:extLst>
            <a:ext uri="{FF2B5EF4-FFF2-40B4-BE49-F238E27FC236}">
              <a16:creationId xmlns:a16="http://schemas.microsoft.com/office/drawing/2014/main" xmlns="" id="{18B9DE22-4E9F-640C-8B69-D5AE34440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213360</xdr:colOff>
      <xdr:row>2</xdr:row>
      <xdr:rowOff>99060</xdr:rowOff>
    </xdr:from>
    <xdr:to>
      <xdr:col>10</xdr:col>
      <xdr:colOff>518160</xdr:colOff>
      <xdr:row>17</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400050</xdr:colOff>
      <xdr:row>1</xdr:row>
      <xdr:rowOff>158750</xdr:rowOff>
    </xdr:from>
    <xdr:to>
      <xdr:col>11</xdr:col>
      <xdr:colOff>209550</xdr:colOff>
      <xdr:row>18</xdr:row>
      <xdr:rowOff>76200</xdr:rowOff>
    </xdr:to>
    <xdr:graphicFrame macro="">
      <xdr:nvGraphicFramePr>
        <xdr:cNvPr id="2" name="Chart 1">
          <a:extLst>
            <a:ext uri="{FF2B5EF4-FFF2-40B4-BE49-F238E27FC236}">
              <a16:creationId xmlns:a16="http://schemas.microsoft.com/office/drawing/2014/main" xmlns="" id="{BA9937EF-2291-6530-EBEB-710DD6251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8.775553587962" createdVersion="8" refreshedVersion="8" minRefreshableVersion="3" recordCount="25">
  <cacheSource type="worksheet">
    <worksheetSource ref="A1:N26" sheet="supermarket_data"/>
  </cacheSource>
  <cacheFields count="18">
    <cacheField name="Invoice_ID" numFmtId="0">
      <sharedItems count="25">
        <s v="INV001"/>
        <s v="INV002"/>
        <s v="INV003"/>
        <s v="INV004"/>
        <s v="INV005"/>
        <s v="INV006"/>
        <s v="INV007"/>
        <s v="INV008"/>
        <s v="INV009"/>
        <s v="INV010"/>
        <s v="INV011"/>
        <s v="INV012"/>
        <s v="INV013"/>
        <s v="INV014"/>
        <s v="INV015"/>
        <s v="INV016"/>
        <s v="INV017"/>
        <s v="INV018"/>
        <s v="INV019"/>
        <s v="INV020"/>
        <s v="INV021"/>
        <s v="INV022"/>
        <s v="INV023"/>
        <s v="INV024"/>
        <s v="INV025"/>
      </sharedItems>
    </cacheField>
    <cacheField name="Invoice Date" numFmtId="164">
      <sharedItems containsSemiMixedTypes="0" containsNonDate="0" containsDate="1" containsString="0" minDate="2024-01-02T00:00:00" maxDate="2024-12-03T00:00:00"/>
    </cacheField>
    <cacheField name="day" numFmtId="164">
      <sharedItems/>
    </cacheField>
    <cacheField name="weekend /weekday" numFmtId="164">
      <sharedItems count="2">
        <s v="weekday"/>
        <s v="Weekend"/>
      </sharedItems>
    </cacheField>
    <cacheField name="month" numFmtId="164">
      <sharedItems count="11">
        <s v="Jan"/>
        <s v="Feb"/>
        <s v="Mar"/>
        <s v="Apr"/>
        <s v="Jun"/>
        <s v="Jul"/>
        <s v="Aug"/>
        <s v="Sep"/>
        <s v="Oct"/>
        <s v="Nov"/>
        <s v="Dec"/>
      </sharedItems>
    </cacheField>
    <cacheField name="Customer_Name" numFmtId="0">
      <sharedItems/>
    </cacheField>
    <cacheField name="Gender" numFmtId="0">
      <sharedItems count="2">
        <s v="Male"/>
        <s v="Female"/>
      </sharedItems>
    </cacheField>
    <cacheField name="City" numFmtId="0">
      <sharedItems count="15">
        <s v="Pune"/>
        <s v="Mumbai"/>
        <s v="Delhi"/>
        <s v="Bangalore"/>
        <s v="Chennai"/>
        <s v="Hyderbad"/>
        <s v="Jaipur"/>
        <s v="Ahmedabad"/>
        <s v="Nagpur"/>
        <s v="Indore"/>
        <s v="Surat"/>
        <s v="Kochi"/>
        <s v="Patna"/>
        <s v="Kolkata"/>
        <s v="Bhopal"/>
      </sharedItems>
    </cacheField>
    <cacheField name="State" numFmtId="0">
      <sharedItems count="11">
        <s v="Maharashtra"/>
        <s v="Delhi"/>
        <s v="Karnataka"/>
        <s v="Tamil Nadu"/>
        <s v="Telangana"/>
        <s v="Rajasthan"/>
        <s v="Gujarat"/>
        <s v="Madhya Pradesh"/>
        <s v="Kerala"/>
        <s v="Bihar"/>
        <s v="West Bengal"/>
      </sharedItems>
    </cacheField>
    <cacheField name="Product_Name" numFmtId="0">
      <sharedItems count="8">
        <s v="Rice"/>
        <s v="Wheat"/>
        <s v="Sugar"/>
        <s v="Milk"/>
        <s v="Cheese"/>
        <s v="Butter"/>
        <s v="Bread"/>
        <s v="Cake"/>
      </sharedItems>
    </cacheField>
    <cacheField name="Category" numFmtId="0">
      <sharedItems count="3">
        <s v="Grocery"/>
        <s v="Dairy"/>
        <s v="Bakery"/>
      </sharedItems>
    </cacheField>
    <cacheField name="Quantity" numFmtId="0">
      <sharedItems containsSemiMixedTypes="0" containsString="0" containsNumber="1" containsInteger="1" minValue="1" maxValue="100"/>
    </cacheField>
    <cacheField name="Unit_Cost" numFmtId="0">
      <sharedItems containsSemiMixedTypes="0" containsString="0" containsNumber="1" containsInteger="1" minValue="28" maxValue="450"/>
    </cacheField>
    <cacheField name="total sales" numFmtId="0">
      <sharedItems containsSemiMixedTypes="0" containsString="0" containsNumber="1" containsInteger="1" minValue="55" maxValue="2800"/>
    </cacheField>
    <cacheField name="Discount" numFmtId="9">
      <sharedItems containsSemiMixedTypes="0" containsString="0" containsNumber="1" minValue="0" maxValue="0.25"/>
    </cacheField>
    <cacheField name="discount value" numFmtId="0">
      <sharedItems containsSemiMixedTypes="0" containsString="0" containsNumber="1" minValue="0" maxValue="225" count="12">
        <n v="30"/>
        <n v="8.25"/>
        <n v="0"/>
        <n v="66"/>
        <n v="9"/>
        <n v="90"/>
        <n v="6.75"/>
        <n v="54"/>
        <n v="225"/>
        <n v="12"/>
        <n v="45"/>
        <n v="18"/>
      </sharedItems>
    </cacheField>
    <cacheField name="net sales" numFmtId="0">
      <sharedItems containsSemiMixedTypes="0" containsString="0" containsNumber="1" minValue="55" maxValue="2800"/>
    </cacheField>
    <cacheField name="High value order" numFmtId="0">
      <sharedItems count="2">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
  <r>
    <x v="0"/>
    <d v="2024-01-02T00:00:00"/>
    <s v="Tue"/>
    <x v="0"/>
    <x v="0"/>
    <s v="Amit Kulkarni"/>
    <x v="0"/>
    <x v="0"/>
    <x v="0"/>
    <x v="0"/>
    <x v="0"/>
    <n v="5"/>
    <n v="60"/>
    <n v="300"/>
    <n v="0.1"/>
    <x v="0"/>
    <n v="270"/>
    <x v="0"/>
  </r>
  <r>
    <x v="1"/>
    <d v="2024-02-02T00:00:00"/>
    <s v="Fri"/>
    <x v="0"/>
    <x v="1"/>
    <s v="Neha Patil"/>
    <x v="1"/>
    <x v="1"/>
    <x v="0"/>
    <x v="1"/>
    <x v="0"/>
    <n v="3"/>
    <n v="55"/>
    <n v="165"/>
    <n v="0.05"/>
    <x v="1"/>
    <n v="156.75"/>
    <x v="1"/>
  </r>
  <r>
    <x v="2"/>
    <d v="2024-03-02T00:00:00"/>
    <s v="Sat"/>
    <x v="1"/>
    <x v="2"/>
    <s v="Rahul Jain"/>
    <x v="0"/>
    <x v="2"/>
    <x v="1"/>
    <x v="2"/>
    <x v="0"/>
    <n v="2"/>
    <n v="45"/>
    <n v="90"/>
    <n v="0"/>
    <x v="2"/>
    <n v="90"/>
    <x v="1"/>
  </r>
  <r>
    <x v="3"/>
    <d v="2024-04-02T00:00:00"/>
    <s v="Tue"/>
    <x v="0"/>
    <x v="3"/>
    <s v="Pooja Sharma"/>
    <x v="1"/>
    <x v="3"/>
    <x v="2"/>
    <x v="3"/>
    <x v="1"/>
    <n v="11"/>
    <n v="28"/>
    <n v="308"/>
    <n v="0"/>
    <x v="2"/>
    <n v="308"/>
    <x v="0"/>
  </r>
  <r>
    <x v="4"/>
    <d v="2024-02-13T00:00:00"/>
    <s v="Tue"/>
    <x v="0"/>
    <x v="1"/>
    <s v="Suresh Kumar"/>
    <x v="0"/>
    <x v="4"/>
    <x v="3"/>
    <x v="4"/>
    <x v="1"/>
    <n v="2"/>
    <n v="220"/>
    <n v="440"/>
    <n v="0.15"/>
    <x v="3"/>
    <n v="374"/>
    <x v="0"/>
  </r>
  <r>
    <x v="5"/>
    <d v="2024-06-02T00:00:00"/>
    <s v="Sun"/>
    <x v="1"/>
    <x v="4"/>
    <s v="Anita Rao"/>
    <x v="1"/>
    <x v="5"/>
    <x v="4"/>
    <x v="5"/>
    <x v="1"/>
    <n v="1"/>
    <n v="180"/>
    <n v="180"/>
    <n v="0.05"/>
    <x v="4"/>
    <n v="171"/>
    <x v="1"/>
  </r>
  <r>
    <x v="6"/>
    <d v="2024-07-02T00:00:00"/>
    <s v="Tue"/>
    <x v="0"/>
    <x v="5"/>
    <s v="Manish Verma"/>
    <x v="0"/>
    <x v="6"/>
    <x v="5"/>
    <x v="6"/>
    <x v="2"/>
    <n v="4"/>
    <n v="35"/>
    <n v="140"/>
    <n v="0"/>
    <x v="2"/>
    <n v="140"/>
    <x v="1"/>
  </r>
  <r>
    <x v="7"/>
    <d v="2024-08-02T00:00:00"/>
    <s v="Fri"/>
    <x v="0"/>
    <x v="6"/>
    <s v="Ritu Mehta"/>
    <x v="1"/>
    <x v="7"/>
    <x v="6"/>
    <x v="7"/>
    <x v="2"/>
    <n v="1"/>
    <n v="450"/>
    <n v="450"/>
    <n v="0.2"/>
    <x v="5"/>
    <n v="360"/>
    <x v="0"/>
  </r>
  <r>
    <x v="8"/>
    <d v="2024-09-02T00:00:00"/>
    <s v="Mon"/>
    <x v="0"/>
    <x v="7"/>
    <s v="Rohit Singh"/>
    <x v="0"/>
    <x v="0"/>
    <x v="0"/>
    <x v="3"/>
    <x v="1"/>
    <n v="2"/>
    <n v="28"/>
    <n v="56"/>
    <n v="0"/>
    <x v="2"/>
    <n v="56"/>
    <x v="1"/>
  </r>
  <r>
    <x v="9"/>
    <d v="2024-10-02T00:00:00"/>
    <s v="Wed"/>
    <x v="0"/>
    <x v="8"/>
    <s v="unknown"/>
    <x v="1"/>
    <x v="1"/>
    <x v="0"/>
    <x v="0"/>
    <x v="0"/>
    <n v="5"/>
    <n v="60"/>
    <n v="300"/>
    <n v="0.1"/>
    <x v="0"/>
    <n v="270"/>
    <x v="0"/>
  </r>
  <r>
    <x v="10"/>
    <d v="2024-11-02T00:00:00"/>
    <s v="Sat"/>
    <x v="1"/>
    <x v="9"/>
    <s v="Karan Malhotra"/>
    <x v="0"/>
    <x v="2"/>
    <x v="1"/>
    <x v="1"/>
    <x v="0"/>
    <n v="1"/>
    <n v="55"/>
    <n v="55"/>
    <n v="0"/>
    <x v="2"/>
    <n v="55"/>
    <x v="1"/>
  </r>
  <r>
    <x v="11"/>
    <d v="2024-12-02T00:00:00"/>
    <s v="Mon"/>
    <x v="0"/>
    <x v="10"/>
    <s v="Sneha Joshi"/>
    <x v="1"/>
    <x v="8"/>
    <x v="0"/>
    <x v="2"/>
    <x v="0"/>
    <n v="3"/>
    <n v="45"/>
    <n v="135"/>
    <n v="0.05"/>
    <x v="6"/>
    <n v="128.25"/>
    <x v="1"/>
  </r>
  <r>
    <x v="12"/>
    <d v="2024-02-13T00:00:00"/>
    <s v="Tue"/>
    <x v="0"/>
    <x v="1"/>
    <s v="Akash Jain"/>
    <x v="0"/>
    <x v="9"/>
    <x v="7"/>
    <x v="4"/>
    <x v="1"/>
    <n v="1"/>
    <n v="220"/>
    <n v="220"/>
    <n v="0"/>
    <x v="2"/>
    <n v="220"/>
    <x v="0"/>
  </r>
  <r>
    <x v="13"/>
    <d v="2024-02-14T00:00:00"/>
    <s v="Wed"/>
    <x v="0"/>
    <x v="1"/>
    <s v="Meena Shah"/>
    <x v="1"/>
    <x v="10"/>
    <x v="6"/>
    <x v="6"/>
    <x v="2"/>
    <n v="2"/>
    <n v="35"/>
    <n v="70"/>
    <n v="0"/>
    <x v="2"/>
    <n v="70"/>
    <x v="1"/>
  </r>
  <r>
    <x v="14"/>
    <d v="2024-02-15T00:00:00"/>
    <s v="Thu"/>
    <x v="0"/>
    <x v="1"/>
    <s v="Ramesh Patil"/>
    <x v="0"/>
    <x v="0"/>
    <x v="0"/>
    <x v="5"/>
    <x v="1"/>
    <n v="3"/>
    <n v="180"/>
    <n v="540"/>
    <n v="0.1"/>
    <x v="7"/>
    <n v="486"/>
    <x v="0"/>
  </r>
  <r>
    <x v="15"/>
    <d v="2024-02-16T00:00:00"/>
    <s v="Fri"/>
    <x v="0"/>
    <x v="1"/>
    <s v="Divya Kapoor"/>
    <x v="1"/>
    <x v="2"/>
    <x v="1"/>
    <x v="7"/>
    <x v="2"/>
    <n v="2"/>
    <n v="450"/>
    <n v="900"/>
    <n v="0.25"/>
    <x v="8"/>
    <n v="675"/>
    <x v="0"/>
  </r>
  <r>
    <x v="16"/>
    <d v="2024-02-17T00:00:00"/>
    <s v="Sat"/>
    <x v="1"/>
    <x v="1"/>
    <s v="Sunil Rao"/>
    <x v="0"/>
    <x v="1"/>
    <x v="0"/>
    <x v="3"/>
    <x v="1"/>
    <n v="100"/>
    <n v="28"/>
    <n v="2800"/>
    <n v="0"/>
    <x v="2"/>
    <n v="2800"/>
    <x v="0"/>
  </r>
  <r>
    <x v="17"/>
    <d v="2024-02-18T00:00:00"/>
    <s v="Sun"/>
    <x v="1"/>
    <x v="1"/>
    <s v="Priya Nair"/>
    <x v="1"/>
    <x v="11"/>
    <x v="8"/>
    <x v="0"/>
    <x v="0"/>
    <n v="4"/>
    <n v="60"/>
    <n v="240"/>
    <n v="0.05"/>
    <x v="9"/>
    <n v="228"/>
    <x v="0"/>
  </r>
  <r>
    <x v="18"/>
    <d v="2024-02-19T00:00:00"/>
    <s v="Mon"/>
    <x v="0"/>
    <x v="1"/>
    <s v="Manoj Gupta"/>
    <x v="0"/>
    <x v="12"/>
    <x v="9"/>
    <x v="1"/>
    <x v="0"/>
    <n v="2"/>
    <n v="55"/>
    <n v="110"/>
    <n v="0"/>
    <x v="2"/>
    <n v="110"/>
    <x v="1"/>
  </r>
  <r>
    <x v="19"/>
    <d v="2024-02-20T00:00:00"/>
    <s v="Tue"/>
    <x v="0"/>
    <x v="1"/>
    <s v="Priyanka Roy"/>
    <x v="1"/>
    <x v="13"/>
    <x v="10"/>
    <x v="2"/>
    <x v="0"/>
    <n v="2"/>
    <n v="45"/>
    <n v="90"/>
    <n v="0"/>
    <x v="2"/>
    <n v="90"/>
    <x v="1"/>
  </r>
  <r>
    <x v="20"/>
    <d v="2024-02-21T00:00:00"/>
    <s v="Wed"/>
    <x v="0"/>
    <x v="1"/>
    <s v="Ashish Mishra"/>
    <x v="0"/>
    <x v="14"/>
    <x v="7"/>
    <x v="6"/>
    <x v="2"/>
    <n v="3"/>
    <n v="35"/>
    <n v="105"/>
    <n v="0"/>
    <x v="2"/>
    <n v="105"/>
    <x v="1"/>
  </r>
  <r>
    <x v="21"/>
    <d v="2024-02-22T00:00:00"/>
    <s v="Thu"/>
    <x v="0"/>
    <x v="1"/>
    <s v="Nidhi Agarwal"/>
    <x v="1"/>
    <x v="6"/>
    <x v="5"/>
    <x v="7"/>
    <x v="2"/>
    <n v="1"/>
    <n v="450"/>
    <n v="450"/>
    <n v="0.1"/>
    <x v="10"/>
    <n v="405"/>
    <x v="0"/>
  </r>
  <r>
    <x v="22"/>
    <d v="2024-02-23T00:00:00"/>
    <s v="Fri"/>
    <x v="0"/>
    <x v="1"/>
    <s v="Rajesh Khanna"/>
    <x v="0"/>
    <x v="2"/>
    <x v="1"/>
    <x v="3"/>
    <x v="1"/>
    <n v="2"/>
    <n v="28"/>
    <n v="56"/>
    <n v="0"/>
    <x v="2"/>
    <n v="56"/>
    <x v="1"/>
  </r>
  <r>
    <x v="23"/>
    <d v="2024-02-24T00:00:00"/>
    <s v="Sat"/>
    <x v="1"/>
    <x v="1"/>
    <s v="Shweta Patil"/>
    <x v="1"/>
    <x v="0"/>
    <x v="0"/>
    <x v="5"/>
    <x v="1"/>
    <n v="2"/>
    <n v="180"/>
    <n v="360"/>
    <n v="0.05"/>
    <x v="11"/>
    <n v="342"/>
    <x v="0"/>
  </r>
  <r>
    <x v="24"/>
    <d v="2024-02-25T00:00:00"/>
    <s v="Sun"/>
    <x v="1"/>
    <x v="1"/>
    <s v="Amit Kulkarni"/>
    <x v="0"/>
    <x v="0"/>
    <x v="0"/>
    <x v="0"/>
    <x v="0"/>
    <n v="5"/>
    <n v="60"/>
    <n v="300"/>
    <n v="0.1"/>
    <x v="0"/>
    <n v="27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3">
  <location ref="A3:B8" firstHeaderRow="1" firstDataRow="1" firstDataCol="1"/>
  <pivotFields count="18">
    <pivotField showAll="0"/>
    <pivotField numFmtId="164" showAll="0"/>
    <pivotField showAll="0"/>
    <pivotField showAll="0"/>
    <pivotField showAll="0"/>
    <pivotField showAll="0"/>
    <pivotField showAll="0"/>
    <pivotField showAll="0"/>
    <pivotField axis="axisRow" showAll="0" measureFilter="1" sortType="ascending">
      <items count="12">
        <item x="10"/>
        <item x="4"/>
        <item x="3"/>
        <item x="5"/>
        <item x="0"/>
        <item x="7"/>
        <item x="8"/>
        <item x="2"/>
        <item x="6"/>
        <item x="1"/>
        <item x="9"/>
        <item t="default"/>
      </items>
      <autoSortScope>
        <pivotArea dataOnly="0" outline="0" fieldPosition="0">
          <references count="1">
            <reference field="4294967294" count="1" selected="0">
              <x v="0"/>
            </reference>
          </references>
        </pivotArea>
      </autoSortScope>
    </pivotField>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dataField="1" showAll="0"/>
    <pivotField showAll="0"/>
  </pivotFields>
  <rowFields count="1">
    <field x="8"/>
  </rowFields>
  <rowItems count="5">
    <i>
      <x v="2"/>
    </i>
    <i>
      <x v="8"/>
    </i>
    <i>
      <x v="3"/>
    </i>
    <i>
      <x v="9"/>
    </i>
    <i>
      <x v="4"/>
    </i>
  </rowItems>
  <colItems count="1">
    <i/>
  </colItems>
  <dataFields count="1">
    <dataField name="Sum of net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2" firstHeaderRow="1" firstDataRow="1" firstDataCol="1"/>
  <pivotFields count="18">
    <pivotField showAll="0"/>
    <pivotField numFmtId="164" showAll="0"/>
    <pivotField showAll="0"/>
    <pivotField showAll="0"/>
    <pivotField showAll="0"/>
    <pivotField showAll="0"/>
    <pivotField showAll="0"/>
    <pivotField showAll="0"/>
    <pivotField showAll="0"/>
    <pivotField axis="axisRow" showAll="0">
      <items count="9">
        <item x="6"/>
        <item x="5"/>
        <item x="7"/>
        <item x="4"/>
        <item x="3"/>
        <item x="0"/>
        <item x="2"/>
        <item x="1"/>
        <item t="default"/>
      </items>
    </pivotField>
    <pivotField showAll="0">
      <items count="4">
        <item x="2"/>
        <item x="1"/>
        <item x="0"/>
        <item t="default"/>
      </items>
    </pivotField>
    <pivotField showAll="0"/>
    <pivotField showAll="0"/>
    <pivotField dataField="1" showAll="0"/>
    <pivotField numFmtId="9" showAll="0"/>
    <pivotField showAll="0"/>
    <pivotField showAll="0"/>
    <pivotField showAll="0"/>
  </pivotFields>
  <rowFields count="1">
    <field x="9"/>
  </rowFields>
  <rowItems count="9">
    <i>
      <x/>
    </i>
    <i>
      <x v="1"/>
    </i>
    <i>
      <x v="2"/>
    </i>
    <i>
      <x v="3"/>
    </i>
    <i>
      <x v="4"/>
    </i>
    <i>
      <x v="5"/>
    </i>
    <i>
      <x v="6"/>
    </i>
    <i>
      <x v="7"/>
    </i>
    <i t="grand">
      <x/>
    </i>
  </rowItems>
  <colItems count="1">
    <i/>
  </colItems>
  <dataFields count="1">
    <dataField name="Sum of total sales"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9" firstHeaderRow="1" firstDataRow="1" firstDataCol="1"/>
  <pivotFields count="18">
    <pivotField showAll="0"/>
    <pivotField numFmtId="164" showAll="0"/>
    <pivotField showAll="0"/>
    <pivotField showAll="0"/>
    <pivotField showAll="0"/>
    <pivotField showAll="0"/>
    <pivotField showAll="0"/>
    <pivotField axis="axisRow" showAll="0">
      <items count="16">
        <item x="7"/>
        <item x="3"/>
        <item x="14"/>
        <item x="4"/>
        <item x="2"/>
        <item x="5"/>
        <item x="9"/>
        <item x="6"/>
        <item x="11"/>
        <item x="13"/>
        <item x="1"/>
        <item x="8"/>
        <item x="12"/>
        <item x="0"/>
        <item x="10"/>
        <item t="default"/>
      </items>
    </pivotField>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dataField="1" showAll="0"/>
    <pivotField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net sales" fld="1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8">
    <pivotField showAll="0"/>
    <pivotField numFmtId="164" showAll="0"/>
    <pivotField showAll="0"/>
    <pivotField showAll="0"/>
    <pivotField showAll="0"/>
    <pivotField showAll="0"/>
    <pivotField showAll="0"/>
    <pivotField showAll="0"/>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6" firstHeaderRow="1" firstDataRow="1" firstDataCol="1"/>
  <pivotFields count="18">
    <pivotField showAll="0"/>
    <pivotField numFmtId="164" showAll="0"/>
    <pivotField showAll="0"/>
    <pivotField showAll="0"/>
    <pivotField showAll="0"/>
    <pivotField showAll="0"/>
    <pivotField showAll="0"/>
    <pivotField showAll="0"/>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axis="axisRow" showAll="0">
      <items count="13">
        <item x="2"/>
        <item x="6"/>
        <item x="1"/>
        <item x="4"/>
        <item x="9"/>
        <item x="11"/>
        <item x="0"/>
        <item x="10"/>
        <item x="7"/>
        <item x="3"/>
        <item x="5"/>
        <item x="8"/>
        <item t="default"/>
      </items>
    </pivotField>
    <pivotField dataField="1"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B6" firstHeaderRow="1" firstDataRow="1" firstDataCol="1"/>
  <pivotFields count="18">
    <pivotField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64" showAll="0"/>
    <pivotField showAll="0"/>
    <pivotField showAll="0"/>
    <pivotField showAll="0"/>
    <pivotField showAll="0"/>
    <pivotField showAll="0"/>
    <pivotField showAll="0"/>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17"/>
  </rowFields>
  <rowItems count="3">
    <i>
      <x/>
    </i>
    <i>
      <x v="1"/>
    </i>
    <i t="grand">
      <x/>
    </i>
  </rowItems>
  <colItems count="1">
    <i/>
  </colItems>
  <dataFields count="1">
    <dataField name="Count of Invoice_ID" fld="0" subtotal="count"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7" count="1" selected="0">
            <x v="0"/>
          </reference>
        </references>
      </pivotArea>
    </chartFormat>
    <chartFormat chart="3" format="3">
      <pivotArea type="data" outline="0" fieldPosition="0">
        <references count="2">
          <reference field="4294967294" count="1" selected="0">
            <x v="0"/>
          </reference>
          <reference field="17"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7" count="1" selected="0">
            <x v="0"/>
          </reference>
        </references>
      </pivotArea>
    </chartFormat>
    <chartFormat chart="14" format="6">
      <pivotArea type="data" outline="0" fieldPosition="0">
        <references count="2">
          <reference field="4294967294" count="1" selected="0">
            <x v="0"/>
          </reference>
          <reference field="17"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7" count="1" selected="0">
            <x v="0"/>
          </reference>
        </references>
      </pivotArea>
    </chartFormat>
    <chartFormat chart="17" format="9">
      <pivotArea type="data" outline="0" fieldPosition="0">
        <references count="2">
          <reference field="4294967294" count="1" selected="0">
            <x v="0"/>
          </reference>
          <reference field="17" count="1" selected="0">
            <x v="1"/>
          </reference>
        </references>
      </pivotArea>
    </chartFormat>
    <chartFormat chart="2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3:B8" firstHeaderRow="1" firstDataRow="1" firstDataCol="1"/>
  <pivotFields count="18">
    <pivotField showAll="0"/>
    <pivotField numFmtId="164" showAll="0"/>
    <pivotField showAll="0"/>
    <pivotField showAll="0"/>
    <pivotField showAll="0"/>
    <pivotField showAll="0"/>
    <pivotField showAll="0"/>
    <pivotField showAll="0"/>
    <pivotField axis="axisRow" showAll="0" measureFilter="1" sortType="ascending">
      <items count="12">
        <item x="10"/>
        <item x="4"/>
        <item x="3"/>
        <item x="5"/>
        <item x="0"/>
        <item x="7"/>
        <item x="8"/>
        <item x="2"/>
        <item x="6"/>
        <item x="1"/>
        <item x="9"/>
        <item t="default"/>
      </items>
      <autoSortScope>
        <pivotArea dataOnly="0" outline="0" fieldPosition="0">
          <references count="1">
            <reference field="4294967294" count="1" selected="0">
              <x v="0"/>
            </reference>
          </references>
        </pivotArea>
      </autoSortScope>
    </pivotField>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dataField="1" showAll="0"/>
    <pivotField showAll="0"/>
  </pivotFields>
  <rowFields count="1">
    <field x="8"/>
  </rowFields>
  <rowItems count="5">
    <i>
      <x v="2"/>
    </i>
    <i>
      <x v="8"/>
    </i>
    <i>
      <x v="3"/>
    </i>
    <i>
      <x v="9"/>
    </i>
    <i>
      <x v="4"/>
    </i>
  </rowItems>
  <colItems count="1">
    <i/>
  </colItems>
  <dataFields count="1">
    <dataField name="Sum of net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B11" firstHeaderRow="1" firstDataRow="1" firstDataCol="1"/>
  <pivotFields count="18">
    <pivotField showAll="0"/>
    <pivotField numFmtId="164" showAll="0"/>
    <pivotField showAll="0"/>
    <pivotField showAll="0"/>
    <pivotField showAll="0"/>
    <pivotField showAll="0"/>
    <pivotField showAll="0"/>
    <pivotField showAll="0"/>
    <pivotField showAll="0"/>
    <pivotField axis="axisRow" showAll="0" sortType="ascending">
      <items count="9">
        <item x="6"/>
        <item x="5"/>
        <item x="7"/>
        <item x="4"/>
        <item x="3"/>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numFmtId="9" showAll="0"/>
    <pivotField showAll="0"/>
    <pivotField dataField="1" showAll="0"/>
    <pivotField showAll="0"/>
  </pivotFields>
  <rowFields count="1">
    <field x="9"/>
  </rowFields>
  <rowItems count="8">
    <i>
      <x v="6"/>
    </i>
    <i>
      <x/>
    </i>
    <i>
      <x v="7"/>
    </i>
    <i>
      <x v="3"/>
    </i>
    <i>
      <x v="1"/>
    </i>
    <i>
      <x v="5"/>
    </i>
    <i>
      <x v="2"/>
    </i>
    <i>
      <x v="4"/>
    </i>
  </rowItems>
  <colItems count="1">
    <i/>
  </colItems>
  <dataFields count="1">
    <dataField name="Sum of net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3:B14" firstHeaderRow="1" firstDataRow="1" firstDataCol="1"/>
  <pivotFields count="18">
    <pivotField showAll="0"/>
    <pivotField numFmtId="164" showAll="0"/>
    <pivotField showAll="0"/>
    <pivotField showAll="0">
      <items count="3">
        <item x="0"/>
        <item x="1"/>
        <item t="default"/>
      </items>
    </pivotField>
    <pivotField showAll="0">
      <items count="12">
        <item x="0"/>
        <item x="1"/>
        <item x="2"/>
        <item x="3"/>
        <item x="4"/>
        <item x="5"/>
        <item x="6"/>
        <item x="7"/>
        <item x="8"/>
        <item x="9"/>
        <item x="10"/>
        <item t="default"/>
      </items>
    </pivotField>
    <pivotField showAll="0"/>
    <pivotField showAll="0">
      <items count="3">
        <item x="1"/>
        <item x="0"/>
        <item t="default"/>
      </items>
    </pivotField>
    <pivotField showAll="0">
      <items count="16">
        <item x="7"/>
        <item x="3"/>
        <item x="14"/>
        <item x="4"/>
        <item x="2"/>
        <item x="5"/>
        <item x="9"/>
        <item x="6"/>
        <item x="11"/>
        <item x="13"/>
        <item x="1"/>
        <item x="8"/>
        <item x="12"/>
        <item x="0"/>
        <item x="10"/>
        <item t="default"/>
      </items>
    </pivotField>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axis="axisRow" showAll="0">
      <items count="13">
        <item h="1" x="2"/>
        <item x="6"/>
        <item x="1"/>
        <item x="4"/>
        <item x="9"/>
        <item x="11"/>
        <item x="0"/>
        <item x="10"/>
        <item x="7"/>
        <item x="3"/>
        <item x="5"/>
        <item x="8"/>
        <item t="default"/>
      </items>
    </pivotField>
    <pivotField dataField="1" showAll="0"/>
    <pivotField showAll="0"/>
  </pivotFields>
  <rowFields count="1">
    <field x="15"/>
  </rowFields>
  <rowItems count="11">
    <i>
      <x v="1"/>
    </i>
    <i>
      <x v="2"/>
    </i>
    <i>
      <x v="3"/>
    </i>
    <i>
      <x v="4"/>
    </i>
    <i>
      <x v="5"/>
    </i>
    <i>
      <x v="6"/>
    </i>
    <i>
      <x v="7"/>
    </i>
    <i>
      <x v="8"/>
    </i>
    <i>
      <x v="9"/>
    </i>
    <i>
      <x v="10"/>
    </i>
    <i>
      <x v="11"/>
    </i>
  </rowItems>
  <colItems count="1">
    <i/>
  </colItems>
  <dataFields count="1">
    <dataField name="Sum of net sales" fld="16"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6">
  <location ref="A3:B15" firstHeaderRow="1" firstDataRow="1" firstDataCol="1"/>
  <pivotFields count="18">
    <pivotField showAll="0"/>
    <pivotField numFmtId="164"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dataField="1" showAll="0"/>
    <pivotField numFmtId="9" showAll="0"/>
    <pivotField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Sum of total sales"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4">
  <location ref="A3:B18" firstHeaderRow="1" firstDataRow="1" firstDataCol="1"/>
  <pivotFields count="18">
    <pivotField showAll="0"/>
    <pivotField numFmtId="164" showAll="0"/>
    <pivotField showAll="0"/>
    <pivotField showAll="0"/>
    <pivotField showAll="0"/>
    <pivotField showAll="0"/>
    <pivotField showAll="0"/>
    <pivotField axis="axisRow" showAll="0" sortType="descending">
      <items count="16">
        <item x="10"/>
        <item x="0"/>
        <item x="12"/>
        <item x="8"/>
        <item x="1"/>
        <item x="13"/>
        <item x="11"/>
        <item x="6"/>
        <item x="9"/>
        <item x="5"/>
        <item x="2"/>
        <item x="4"/>
        <item x="14"/>
        <item x="3"/>
        <item x="7"/>
        <item t="default"/>
      </items>
      <autoSortScope>
        <pivotArea dataOnly="0" outline="0" fieldPosition="0">
          <references count="1">
            <reference field="4294967294" count="1" selected="0">
              <x v="0"/>
            </reference>
          </references>
        </pivotArea>
      </autoSortScope>
    </pivotField>
    <pivotField showAll="0"/>
    <pivotField showAll="0">
      <items count="9">
        <item x="6"/>
        <item x="5"/>
        <item x="7"/>
        <item x="4"/>
        <item x="3"/>
        <item x="0"/>
        <item x="2"/>
        <item x="1"/>
        <item t="default"/>
      </items>
    </pivotField>
    <pivotField showAll="0">
      <items count="4">
        <item x="2"/>
        <item x="1"/>
        <item x="0"/>
        <item t="default"/>
      </items>
    </pivotField>
    <pivotField showAll="0"/>
    <pivotField showAll="0"/>
    <pivotField showAll="0"/>
    <pivotField numFmtId="9" showAll="0"/>
    <pivotField showAll="0"/>
    <pivotField dataField="1" showAll="0"/>
    <pivotField showAll="0"/>
  </pivotFields>
  <rowFields count="1">
    <field x="7"/>
  </rowFields>
  <rowItems count="15">
    <i>
      <x v="4"/>
    </i>
    <i>
      <x v="11"/>
    </i>
    <i>
      <x v="14"/>
    </i>
    <i>
      <x v="13"/>
    </i>
    <i>
      <x v="1"/>
    </i>
    <i>
      <x v="7"/>
    </i>
    <i>
      <x v="6"/>
    </i>
    <i>
      <x v="8"/>
    </i>
    <i>
      <x v="10"/>
    </i>
    <i>
      <x v="9"/>
    </i>
    <i>
      <x v="3"/>
    </i>
    <i>
      <x v="2"/>
    </i>
    <i>
      <x v="12"/>
    </i>
    <i>
      <x v="5"/>
    </i>
    <i>
      <x/>
    </i>
  </rowItems>
  <colItems count="1">
    <i/>
  </colItems>
  <dataFields count="1">
    <dataField name="Average of net sales" fld="16" subtotal="average" baseField="7"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A3:B7" firstHeaderRow="1" firstDataRow="1" firstDataCol="1"/>
  <pivotFields count="18">
    <pivotField showAll="0"/>
    <pivotField numFmtId="164" showAll="0"/>
    <pivotField showAll="0"/>
    <pivotField showAll="0"/>
    <pivotField showAll="0"/>
    <pivotField showAll="0"/>
    <pivotField showAll="0"/>
    <pivotField showAll="0"/>
    <pivotField showAll="0"/>
    <pivotField showAll="0">
      <items count="9">
        <item x="6"/>
        <item x="5"/>
        <item x="7"/>
        <item x="4"/>
        <item x="3"/>
        <item x="0"/>
        <item x="2"/>
        <item x="1"/>
        <item t="default"/>
      </items>
    </pivotField>
    <pivotField axis="axisRow" showAll="0">
      <items count="4">
        <item x="2"/>
        <item x="1"/>
        <item x="0"/>
        <item t="default"/>
      </items>
    </pivotField>
    <pivotField dataField="1" showAll="0"/>
    <pivotField showAll="0"/>
    <pivotField showAll="0"/>
    <pivotField numFmtId="9" showAll="0"/>
    <pivotField showAll="0"/>
    <pivotField showAll="0"/>
    <pivotField showAll="0"/>
  </pivotFields>
  <rowFields count="1">
    <field x="10"/>
  </rowFields>
  <rowItems count="4">
    <i>
      <x/>
    </i>
    <i>
      <x v="1"/>
    </i>
    <i>
      <x v="2"/>
    </i>
    <i t="grand">
      <x/>
    </i>
  </rowItems>
  <colItems count="1">
    <i/>
  </colItems>
  <dataFields count="1">
    <dataField name="Sum of Quantity"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ekend__weekday" sourceName="weekend /weekday">
  <pivotTables>
    <pivotTable tabId="16"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6" name="PivotTable6"/>
  </pivotTables>
  <data>
    <tabular pivotCacheId="1">
      <items count="11">
        <i x="0" s="1"/>
        <i x="1" s="1"/>
        <i x="4" s="1"/>
        <i x="6" s="1"/>
        <i x="8" s="1"/>
        <i x="10" s="1"/>
        <i x="2" s="1" nd="1"/>
        <i x="3" s="1" nd="1"/>
        <i x="5" s="1" nd="1"/>
        <i x="7"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6" name="PivotTable6"/>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6" name="PivotTable6"/>
  </pivotTables>
  <data>
    <tabular pivotCacheId="1">
      <items count="15">
        <i x="7" s="1"/>
        <i x="4" s="1"/>
        <i x="2" s="1"/>
        <i x="5" s="1"/>
        <i x="6" s="1"/>
        <i x="11" s="1"/>
        <i x="1" s="1"/>
        <i x="8" s="1"/>
        <i x="0" s="1"/>
        <i x="3" s="1" nd="1"/>
        <i x="14" s="1" nd="1"/>
        <i x="9" s="1" nd="1"/>
        <i x="13" s="1" nd="1"/>
        <i x="12" s="1" nd="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16" name="PivotTable6"/>
    <pivotTable tabId="4" name="PivotTable2"/>
    <pivotTable tabId="5" name="PivotTable3"/>
    <pivotTable tabId="14" name="PivotTable3"/>
    <pivotTable tabId="8" name="PivotTable3"/>
    <pivotTable tabId="7" name="PivotTable1"/>
    <pivotTable tabId="9" name="PivotTable4"/>
    <pivotTable tabId="10" name="PivotTable5"/>
    <pivotTable tabId="11" name="PivotTable6"/>
    <pivotTable tabId="12" name="PivotTable7"/>
    <pivotTable tabId="15" name="PivotTable5"/>
    <pivotTable tabId="3" name="PivotTable1"/>
  </pivotTables>
  <data>
    <tabular pivotCacheId="1">
      <items count="8">
        <i x="6" s="1"/>
        <i x="5" s="1"/>
        <i x="7" s="1"/>
        <i x="4" s="1"/>
        <i x="3"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6" name="PivotTable6"/>
    <pivotTable tabId="4" name="PivotTable2"/>
    <pivotTable tabId="5" name="PivotTable3"/>
    <pivotTable tabId="14" name="PivotTable3"/>
    <pivotTable tabId="8" name="PivotTable3"/>
    <pivotTable tabId="7" name="PivotTable1"/>
    <pivotTable tabId="9" name="PivotTable4"/>
    <pivotTable tabId="10" name="PivotTable5"/>
    <pivotTable tabId="11" name="PivotTable6"/>
    <pivotTable tabId="12" name="PivotTable7"/>
    <pivotTable tabId="15" name="PivotTable5"/>
    <pivotTable tabId="3" name="PivotTable1"/>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ekend /weekday" cache="Slicer_weekend__weekday" caption="weekend /weekday" startItem="1" rowHeight="234950"/>
  <slicer name="month" cache="Slicer_month" caption="month" startItem="9" rowHeight="234950"/>
  <slicer name="Gender" cache="Slicer_Gender" caption="Gender" startItem="1" rowHeight="234950"/>
  <slicer name="City" cache="Slicer_City" caption="City" startItem="11" rowHeight="234950"/>
  <slicer name="Product_Name" cache="Slicer_Product_Name" caption="Product_Name" rowHeight="234950"/>
  <slicer name="Category" cache="Slicer_Category" caption="Category"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B8"/>
  <sheetViews>
    <sheetView workbookViewId="0">
      <selection activeCell="A3" sqref="A3"/>
    </sheetView>
  </sheetViews>
  <sheetFormatPr defaultRowHeight="14.4" x14ac:dyDescent="0.3"/>
  <cols>
    <col min="1" max="1" width="12.5546875" bestFit="1" customWidth="1"/>
    <col min="2" max="2" width="14.77734375" bestFit="1" customWidth="1"/>
  </cols>
  <sheetData>
    <row r="3" spans="1:2" x14ac:dyDescent="0.3">
      <c r="A3" s="1" t="s">
        <v>70</v>
      </c>
      <c r="B3" t="s">
        <v>85</v>
      </c>
    </row>
    <row r="4" spans="1:2" x14ac:dyDescent="0.3">
      <c r="A4" s="2" t="s">
        <v>28</v>
      </c>
      <c r="B4" s="3">
        <v>374</v>
      </c>
    </row>
    <row r="5" spans="1:2" x14ac:dyDescent="0.3">
      <c r="A5" s="2" t="s">
        <v>41</v>
      </c>
      <c r="B5" s="3">
        <v>430</v>
      </c>
    </row>
    <row r="6" spans="1:2" x14ac:dyDescent="0.3">
      <c r="A6" s="2" t="s">
        <v>36</v>
      </c>
      <c r="B6" s="3">
        <v>545</v>
      </c>
    </row>
    <row r="7" spans="1:2" x14ac:dyDescent="0.3">
      <c r="A7" s="2" t="s">
        <v>20</v>
      </c>
      <c r="B7" s="3">
        <v>876</v>
      </c>
    </row>
    <row r="8" spans="1:2" x14ac:dyDescent="0.3">
      <c r="A8" s="2" t="s">
        <v>13</v>
      </c>
      <c r="B8" s="3">
        <v>4779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B12"/>
  <sheetViews>
    <sheetView workbookViewId="0">
      <selection activeCell="A3" sqref="A3:A4"/>
    </sheetView>
  </sheetViews>
  <sheetFormatPr defaultRowHeight="14.4" x14ac:dyDescent="0.3"/>
  <cols>
    <col min="1" max="1" width="12.5546875" bestFit="1" customWidth="1"/>
    <col min="2" max="2" width="15.88671875" bestFit="1" customWidth="1"/>
  </cols>
  <sheetData>
    <row r="3" spans="1:2" x14ac:dyDescent="0.3">
      <c r="A3" s="1" t="s">
        <v>70</v>
      </c>
      <c r="B3" t="s">
        <v>83</v>
      </c>
    </row>
    <row r="4" spans="1:2" x14ac:dyDescent="0.3">
      <c r="A4" s="2" t="s">
        <v>37</v>
      </c>
      <c r="B4" s="3">
        <v>315</v>
      </c>
    </row>
    <row r="5" spans="1:2" x14ac:dyDescent="0.3">
      <c r="A5" s="2" t="s">
        <v>33</v>
      </c>
      <c r="B5" s="3">
        <v>1080</v>
      </c>
    </row>
    <row r="6" spans="1:2" x14ac:dyDescent="0.3">
      <c r="A6" s="2" t="s">
        <v>42</v>
      </c>
      <c r="B6" s="3">
        <v>1800</v>
      </c>
    </row>
    <row r="7" spans="1:2" x14ac:dyDescent="0.3">
      <c r="A7" s="2" t="s">
        <v>29</v>
      </c>
      <c r="B7" s="3">
        <v>660</v>
      </c>
    </row>
    <row r="8" spans="1:2" x14ac:dyDescent="0.3">
      <c r="A8" s="2" t="s">
        <v>24</v>
      </c>
      <c r="B8" s="3">
        <v>3220</v>
      </c>
    </row>
    <row r="9" spans="1:2" x14ac:dyDescent="0.3">
      <c r="A9" s="2" t="s">
        <v>14</v>
      </c>
      <c r="B9" s="3">
        <v>1140</v>
      </c>
    </row>
    <row r="10" spans="1:2" x14ac:dyDescent="0.3">
      <c r="A10" s="2" t="s">
        <v>21</v>
      </c>
      <c r="B10" s="3">
        <v>315</v>
      </c>
    </row>
    <row r="11" spans="1:2" x14ac:dyDescent="0.3">
      <c r="A11" s="2" t="s">
        <v>18</v>
      </c>
      <c r="B11" s="3">
        <v>330</v>
      </c>
    </row>
    <row r="12" spans="1:2" x14ac:dyDescent="0.3">
      <c r="A12" s="2" t="s">
        <v>82</v>
      </c>
      <c r="B12" s="3">
        <v>8860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B19"/>
  <sheetViews>
    <sheetView topLeftCell="A7" workbookViewId="0">
      <selection activeCell="A3" sqref="A3:A4"/>
    </sheetView>
  </sheetViews>
  <sheetFormatPr defaultRowHeight="14.4" x14ac:dyDescent="0.3"/>
  <cols>
    <col min="1" max="1" width="12.5546875" bestFit="1" customWidth="1"/>
    <col min="2" max="2" width="14.77734375" bestFit="1" customWidth="1"/>
  </cols>
  <sheetData>
    <row r="3" spans="1:2" x14ac:dyDescent="0.3">
      <c r="A3" s="1" t="s">
        <v>70</v>
      </c>
      <c r="B3" t="s">
        <v>85</v>
      </c>
    </row>
    <row r="4" spans="1:2" x14ac:dyDescent="0.3">
      <c r="A4" s="2" t="s">
        <v>40</v>
      </c>
      <c r="B4" s="3">
        <v>360</v>
      </c>
    </row>
    <row r="5" spans="1:2" x14ac:dyDescent="0.3">
      <c r="A5" s="2" t="s">
        <v>23</v>
      </c>
      <c r="B5" s="3">
        <v>308</v>
      </c>
    </row>
    <row r="6" spans="1:2" x14ac:dyDescent="0.3">
      <c r="A6" s="2" t="s">
        <v>63</v>
      </c>
      <c r="B6" s="3">
        <v>105</v>
      </c>
    </row>
    <row r="7" spans="1:2" x14ac:dyDescent="0.3">
      <c r="A7" s="2" t="s">
        <v>27</v>
      </c>
      <c r="B7" s="3">
        <v>374</v>
      </c>
    </row>
    <row r="8" spans="1:2" x14ac:dyDescent="0.3">
      <c r="A8" s="2" t="s">
        <v>20</v>
      </c>
      <c r="B8" s="3">
        <v>876</v>
      </c>
    </row>
    <row r="9" spans="1:2" x14ac:dyDescent="0.3">
      <c r="A9" s="2" t="s">
        <v>32</v>
      </c>
      <c r="B9" s="3">
        <v>171</v>
      </c>
    </row>
    <row r="10" spans="1:2" x14ac:dyDescent="0.3">
      <c r="A10" s="2" t="s">
        <v>50</v>
      </c>
      <c r="B10" s="3">
        <v>220</v>
      </c>
    </row>
    <row r="11" spans="1:2" x14ac:dyDescent="0.3">
      <c r="A11" s="2" t="s">
        <v>35</v>
      </c>
      <c r="B11" s="3">
        <v>545</v>
      </c>
    </row>
    <row r="12" spans="1:2" x14ac:dyDescent="0.3">
      <c r="A12" s="2" t="s">
        <v>57</v>
      </c>
      <c r="B12" s="3">
        <v>228</v>
      </c>
    </row>
    <row r="13" spans="1:2" x14ac:dyDescent="0.3">
      <c r="A13" s="2" t="s">
        <v>61</v>
      </c>
      <c r="B13" s="3">
        <v>90</v>
      </c>
    </row>
    <row r="14" spans="1:2" x14ac:dyDescent="0.3">
      <c r="A14" s="2" t="s">
        <v>45</v>
      </c>
      <c r="B14" s="3">
        <v>3226.75</v>
      </c>
    </row>
    <row r="15" spans="1:2" x14ac:dyDescent="0.3">
      <c r="A15" s="2" t="s">
        <v>48</v>
      </c>
      <c r="B15" s="3">
        <v>128.25</v>
      </c>
    </row>
    <row r="16" spans="1:2" x14ac:dyDescent="0.3">
      <c r="A16" s="2" t="s">
        <v>59</v>
      </c>
      <c r="B16" s="3">
        <v>110</v>
      </c>
    </row>
    <row r="17" spans="1:2" x14ac:dyDescent="0.3">
      <c r="A17" s="2" t="s">
        <v>12</v>
      </c>
      <c r="B17" s="3">
        <v>1424</v>
      </c>
    </row>
    <row r="18" spans="1:2" x14ac:dyDescent="0.3">
      <c r="A18" s="2" t="s">
        <v>52</v>
      </c>
      <c r="B18" s="3">
        <v>70</v>
      </c>
    </row>
    <row r="19" spans="1:2" x14ac:dyDescent="0.3">
      <c r="A19" s="2" t="s">
        <v>82</v>
      </c>
      <c r="B19" s="3">
        <v>8236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C20"/>
  <sheetViews>
    <sheetView workbookViewId="0">
      <selection activeCell="A3" sqref="A3"/>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B16"/>
  <sheetViews>
    <sheetView workbookViewId="0">
      <selection activeCell="E19" sqref="E19"/>
    </sheetView>
  </sheetViews>
  <sheetFormatPr defaultRowHeight="14.4" x14ac:dyDescent="0.3"/>
  <cols>
    <col min="1" max="1" width="12.5546875" customWidth="1"/>
    <col min="2" max="2" width="14.77734375" bestFit="1" customWidth="1"/>
  </cols>
  <sheetData>
    <row r="3" spans="1:2" x14ac:dyDescent="0.3">
      <c r="A3" s="1" t="s">
        <v>70</v>
      </c>
      <c r="B3" t="s">
        <v>85</v>
      </c>
    </row>
    <row r="4" spans="1:2" x14ac:dyDescent="0.3">
      <c r="A4" s="2">
        <v>0</v>
      </c>
      <c r="B4" s="3">
        <v>4100</v>
      </c>
    </row>
    <row r="5" spans="1:2" x14ac:dyDescent="0.3">
      <c r="A5" s="2">
        <v>6.75</v>
      </c>
      <c r="B5" s="3">
        <v>128.25</v>
      </c>
    </row>
    <row r="6" spans="1:2" x14ac:dyDescent="0.3">
      <c r="A6" s="2">
        <v>8.25</v>
      </c>
      <c r="B6" s="3">
        <v>156.75</v>
      </c>
    </row>
    <row r="7" spans="1:2" x14ac:dyDescent="0.3">
      <c r="A7" s="2">
        <v>9</v>
      </c>
      <c r="B7" s="3">
        <v>171</v>
      </c>
    </row>
    <row r="8" spans="1:2" x14ac:dyDescent="0.3">
      <c r="A8" s="2">
        <v>12</v>
      </c>
      <c r="B8" s="3">
        <v>228</v>
      </c>
    </row>
    <row r="9" spans="1:2" x14ac:dyDescent="0.3">
      <c r="A9" s="2">
        <v>18</v>
      </c>
      <c r="B9" s="3">
        <v>342</v>
      </c>
    </row>
    <row r="10" spans="1:2" x14ac:dyDescent="0.3">
      <c r="A10" s="2">
        <v>30</v>
      </c>
      <c r="B10" s="3">
        <v>810</v>
      </c>
    </row>
    <row r="11" spans="1:2" x14ac:dyDescent="0.3">
      <c r="A11" s="2">
        <v>45</v>
      </c>
      <c r="B11" s="3">
        <v>405</v>
      </c>
    </row>
    <row r="12" spans="1:2" x14ac:dyDescent="0.3">
      <c r="A12" s="2">
        <v>54</v>
      </c>
      <c r="B12" s="3">
        <v>486</v>
      </c>
    </row>
    <row r="13" spans="1:2" x14ac:dyDescent="0.3">
      <c r="A13" s="2">
        <v>66</v>
      </c>
      <c r="B13" s="3">
        <v>374</v>
      </c>
    </row>
    <row r="14" spans="1:2" x14ac:dyDescent="0.3">
      <c r="A14" s="2">
        <v>90</v>
      </c>
      <c r="B14" s="3">
        <v>360</v>
      </c>
    </row>
    <row r="15" spans="1:2" x14ac:dyDescent="0.3">
      <c r="A15" s="2">
        <v>225</v>
      </c>
      <c r="B15" s="3">
        <v>675</v>
      </c>
    </row>
    <row r="16" spans="1:2" x14ac:dyDescent="0.3">
      <c r="A16" s="2" t="s">
        <v>82</v>
      </c>
      <c r="B16" s="3">
        <v>8236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B6"/>
  <sheetViews>
    <sheetView topLeftCell="A4" workbookViewId="0">
      <selection activeCell="D30" sqref="D30:D32"/>
    </sheetView>
  </sheetViews>
  <sheetFormatPr defaultRowHeight="14.4" x14ac:dyDescent="0.3"/>
  <cols>
    <col min="1" max="1" width="12.5546875" customWidth="1"/>
    <col min="2" max="2" width="17.88671875" customWidth="1"/>
  </cols>
  <sheetData>
    <row r="3" spans="1:2" x14ac:dyDescent="0.3">
      <c r="A3" s="1" t="s">
        <v>70</v>
      </c>
      <c r="B3" t="s">
        <v>88</v>
      </c>
    </row>
    <row r="4" spans="1:2" x14ac:dyDescent="0.3">
      <c r="A4" s="2" t="s">
        <v>86</v>
      </c>
      <c r="B4" s="3">
        <v>13</v>
      </c>
    </row>
    <row r="5" spans="1:2" x14ac:dyDescent="0.3">
      <c r="A5" s="2" t="s">
        <v>87</v>
      </c>
      <c r="B5" s="3">
        <v>12</v>
      </c>
    </row>
    <row r="6" spans="1:2" x14ac:dyDescent="0.3">
      <c r="A6" s="2" t="s">
        <v>82</v>
      </c>
      <c r="B6" s="3">
        <v>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B8"/>
  <sheetViews>
    <sheetView workbookViewId="0">
      <selection activeCell="E18" sqref="E18"/>
    </sheetView>
  </sheetViews>
  <sheetFormatPr defaultRowHeight="14.4" x14ac:dyDescent="0.3"/>
  <cols>
    <col min="1" max="1" width="12.5546875" bestFit="1" customWidth="1"/>
    <col min="2" max="2" width="14.77734375" bestFit="1" customWidth="1"/>
  </cols>
  <sheetData>
    <row r="3" spans="1:2" x14ac:dyDescent="0.3">
      <c r="A3" s="1" t="s">
        <v>70</v>
      </c>
      <c r="B3" t="s">
        <v>85</v>
      </c>
    </row>
    <row r="4" spans="1:2" x14ac:dyDescent="0.3">
      <c r="A4" s="2" t="s">
        <v>28</v>
      </c>
      <c r="B4" s="3">
        <v>374</v>
      </c>
    </row>
    <row r="5" spans="1:2" x14ac:dyDescent="0.3">
      <c r="A5" s="2" t="s">
        <v>41</v>
      </c>
      <c r="B5" s="3">
        <v>430</v>
      </c>
    </row>
    <row r="6" spans="1:2" x14ac:dyDescent="0.3">
      <c r="A6" s="2" t="s">
        <v>36</v>
      </c>
      <c r="B6" s="3">
        <v>545</v>
      </c>
    </row>
    <row r="7" spans="1:2" x14ac:dyDescent="0.3">
      <c r="A7" s="2" t="s">
        <v>20</v>
      </c>
      <c r="B7" s="3">
        <v>876</v>
      </c>
    </row>
    <row r="8" spans="1:2" x14ac:dyDescent="0.3">
      <c r="A8" s="2" t="s">
        <v>13</v>
      </c>
      <c r="B8" s="3">
        <v>4779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B11"/>
  <sheetViews>
    <sheetView workbookViewId="0">
      <selection activeCell="A4" sqref="A4:A11"/>
    </sheetView>
  </sheetViews>
  <sheetFormatPr defaultRowHeight="14.4" x14ac:dyDescent="0.3"/>
  <cols>
    <col min="1" max="1" width="12.5546875" bestFit="1" customWidth="1"/>
    <col min="2" max="2" width="14.77734375" bestFit="1" customWidth="1"/>
  </cols>
  <sheetData>
    <row r="3" spans="1:2" x14ac:dyDescent="0.3">
      <c r="A3" s="1" t="s">
        <v>70</v>
      </c>
      <c r="B3" t="s">
        <v>85</v>
      </c>
    </row>
    <row r="4" spans="1:2" x14ac:dyDescent="0.3">
      <c r="A4" s="2" t="s">
        <v>21</v>
      </c>
      <c r="B4" s="3">
        <v>308.25</v>
      </c>
    </row>
    <row r="5" spans="1:2" x14ac:dyDescent="0.3">
      <c r="A5" s="2" t="s">
        <v>37</v>
      </c>
      <c r="B5" s="3">
        <v>315</v>
      </c>
    </row>
    <row r="6" spans="1:2" x14ac:dyDescent="0.3">
      <c r="A6" s="2" t="s">
        <v>18</v>
      </c>
      <c r="B6" s="3">
        <v>321.75</v>
      </c>
    </row>
    <row r="7" spans="1:2" x14ac:dyDescent="0.3">
      <c r="A7" s="2" t="s">
        <v>29</v>
      </c>
      <c r="B7" s="3">
        <v>594</v>
      </c>
    </row>
    <row r="8" spans="1:2" x14ac:dyDescent="0.3">
      <c r="A8" s="2" t="s">
        <v>33</v>
      </c>
      <c r="B8" s="3">
        <v>999</v>
      </c>
    </row>
    <row r="9" spans="1:2" x14ac:dyDescent="0.3">
      <c r="A9" s="2" t="s">
        <v>14</v>
      </c>
      <c r="B9" s="3">
        <v>1038</v>
      </c>
    </row>
    <row r="10" spans="1:2" x14ac:dyDescent="0.3">
      <c r="A10" s="2" t="s">
        <v>42</v>
      </c>
      <c r="B10" s="3">
        <v>1440</v>
      </c>
    </row>
    <row r="11" spans="1:2" x14ac:dyDescent="0.3">
      <c r="A11" s="2" t="s">
        <v>24</v>
      </c>
      <c r="B11" s="3">
        <v>3220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B14"/>
  <sheetViews>
    <sheetView workbookViewId="0">
      <selection activeCell="E3" sqref="E3"/>
    </sheetView>
  </sheetViews>
  <sheetFormatPr defaultRowHeight="14.4" x14ac:dyDescent="0.3"/>
  <cols>
    <col min="1" max="1" width="12.5546875" customWidth="1"/>
    <col min="2" max="2" width="14.77734375" bestFit="1" customWidth="1"/>
  </cols>
  <sheetData>
    <row r="3" spans="1:2" x14ac:dyDescent="0.3">
      <c r="A3" s="1" t="s">
        <v>70</v>
      </c>
      <c r="B3" t="s">
        <v>85</v>
      </c>
    </row>
    <row r="4" spans="1:2" x14ac:dyDescent="0.3">
      <c r="A4" s="2">
        <v>6.75</v>
      </c>
      <c r="B4" s="3">
        <v>128.25</v>
      </c>
    </row>
    <row r="5" spans="1:2" x14ac:dyDescent="0.3">
      <c r="A5" s="2">
        <v>8.25</v>
      </c>
      <c r="B5" s="3">
        <v>156.75</v>
      </c>
    </row>
    <row r="6" spans="1:2" x14ac:dyDescent="0.3">
      <c r="A6" s="2">
        <v>9</v>
      </c>
      <c r="B6" s="3">
        <v>171</v>
      </c>
    </row>
    <row r="7" spans="1:2" x14ac:dyDescent="0.3">
      <c r="A7" s="2">
        <v>12</v>
      </c>
      <c r="B7" s="3">
        <v>228</v>
      </c>
    </row>
    <row r="8" spans="1:2" x14ac:dyDescent="0.3">
      <c r="A8" s="2">
        <v>18</v>
      </c>
      <c r="B8" s="3">
        <v>342</v>
      </c>
    </row>
    <row r="9" spans="1:2" x14ac:dyDescent="0.3">
      <c r="A9" s="2">
        <v>30</v>
      </c>
      <c r="B9" s="3">
        <v>810</v>
      </c>
    </row>
    <row r="10" spans="1:2" x14ac:dyDescent="0.3">
      <c r="A10" s="2">
        <v>45</v>
      </c>
      <c r="B10" s="3">
        <v>405</v>
      </c>
    </row>
    <row r="11" spans="1:2" x14ac:dyDescent="0.3">
      <c r="A11" s="2">
        <v>54</v>
      </c>
      <c r="B11" s="3">
        <v>486</v>
      </c>
    </row>
    <row r="12" spans="1:2" x14ac:dyDescent="0.3">
      <c r="A12" s="2">
        <v>66</v>
      </c>
      <c r="B12" s="3">
        <v>374</v>
      </c>
    </row>
    <row r="13" spans="1:2" x14ac:dyDescent="0.3">
      <c r="A13" s="2">
        <v>90</v>
      </c>
      <c r="B13" s="3">
        <v>360</v>
      </c>
    </row>
    <row r="14" spans="1:2" x14ac:dyDescent="0.3">
      <c r="A14" s="2">
        <v>225</v>
      </c>
      <c r="B14" s="3">
        <v>675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3"/>
  <sheetViews>
    <sheetView showGridLines="0" topLeftCell="A7" workbookViewId="0">
      <selection activeCell="U11" sqref="U11"/>
    </sheetView>
  </sheetViews>
  <sheetFormatPr defaultRowHeight="14.4" x14ac:dyDescent="0.3"/>
  <sheetData>
    <row r="1" spans="1:18" x14ac:dyDescent="0.3">
      <c r="A1" s="16" t="s">
        <v>90</v>
      </c>
      <c r="B1" s="17"/>
      <c r="C1" s="17"/>
      <c r="D1" s="17"/>
      <c r="E1" s="17"/>
      <c r="F1" s="17"/>
      <c r="G1" s="17"/>
      <c r="H1" s="17"/>
      <c r="I1" s="17"/>
      <c r="J1" s="17"/>
      <c r="K1" s="17"/>
      <c r="L1" s="17"/>
      <c r="M1" s="17"/>
      <c r="N1" s="17"/>
      <c r="O1" s="17"/>
      <c r="P1" s="17"/>
      <c r="Q1" s="17"/>
      <c r="R1" s="17"/>
    </row>
    <row r="2" spans="1:18" x14ac:dyDescent="0.3">
      <c r="A2" s="17"/>
      <c r="B2" s="17"/>
      <c r="C2" s="17"/>
      <c r="D2" s="17"/>
      <c r="E2" s="17"/>
      <c r="F2" s="17"/>
      <c r="G2" s="17"/>
      <c r="H2" s="17"/>
      <c r="I2" s="17"/>
      <c r="J2" s="17"/>
      <c r="K2" s="17"/>
      <c r="L2" s="17"/>
      <c r="M2" s="17"/>
      <c r="N2" s="17"/>
      <c r="O2" s="17"/>
      <c r="P2" s="17"/>
      <c r="Q2" s="17"/>
      <c r="R2" s="17"/>
    </row>
    <row r="3" spans="1:18" x14ac:dyDescent="0.3">
      <c r="A3" s="17"/>
      <c r="B3" s="17"/>
      <c r="C3" s="17"/>
      <c r="D3" s="17"/>
      <c r="E3" s="17"/>
      <c r="F3" s="17"/>
      <c r="G3" s="17"/>
      <c r="H3" s="17"/>
      <c r="I3" s="17"/>
      <c r="J3" s="17"/>
      <c r="K3" s="17"/>
      <c r="L3" s="17"/>
      <c r="M3" s="17"/>
      <c r="N3" s="17"/>
      <c r="O3" s="17"/>
      <c r="P3" s="17"/>
      <c r="Q3" s="17"/>
      <c r="R3" s="17"/>
    </row>
  </sheetData>
  <mergeCells count="1">
    <mergeCell ref="A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C1:S27"/>
  <sheetViews>
    <sheetView tabSelected="1" topLeftCell="D1" zoomScale="95" zoomScaleNormal="95" workbookViewId="0">
      <selection activeCell="H29" sqref="H29"/>
    </sheetView>
  </sheetViews>
  <sheetFormatPr defaultRowHeight="14.4" x14ac:dyDescent="0.3"/>
  <cols>
    <col min="1" max="1" width="11.77734375" bestFit="1" customWidth="1"/>
    <col min="2" max="2" width="13.33203125" bestFit="1" customWidth="1"/>
    <col min="3" max="3" width="13.33203125" customWidth="1"/>
    <col min="4" max="4" width="19.44140625" bestFit="1" customWidth="1"/>
    <col min="5" max="5" width="19.44140625" customWidth="1"/>
    <col min="6" max="7" width="17" customWidth="1"/>
    <col min="8" max="8" width="15.21875" customWidth="1"/>
    <col min="9" max="9" width="12.109375" customWidth="1"/>
    <col min="10" max="10" width="11.44140625" customWidth="1"/>
    <col min="11" max="11" width="10.5546875" customWidth="1"/>
    <col min="12" max="12" width="11.21875" bestFit="1" customWidth="1"/>
    <col min="13" max="14" width="11.21875" customWidth="1"/>
    <col min="15" max="15" width="13.44140625" customWidth="1"/>
    <col min="17" max="17" width="12.88671875" bestFit="1" customWidth="1"/>
  </cols>
  <sheetData>
    <row r="1" spans="3:19" x14ac:dyDescent="0.3">
      <c r="C1" t="s">
        <v>0</v>
      </c>
      <c r="D1" t="s">
        <v>1</v>
      </c>
      <c r="E1" t="s">
        <v>68</v>
      </c>
      <c r="F1" t="s">
        <v>91</v>
      </c>
      <c r="G1" t="s">
        <v>69</v>
      </c>
      <c r="H1" s="13" t="s">
        <v>96</v>
      </c>
      <c r="I1" s="13" t="s">
        <v>2</v>
      </c>
      <c r="J1" t="s">
        <v>3</v>
      </c>
      <c r="K1" t="s">
        <v>4</v>
      </c>
      <c r="L1" t="s">
        <v>5</v>
      </c>
      <c r="M1" t="s">
        <v>6</v>
      </c>
      <c r="N1" t="s">
        <v>7</v>
      </c>
      <c r="O1" t="s">
        <v>92</v>
      </c>
      <c r="P1" t="s">
        <v>8</v>
      </c>
      <c r="Q1" t="s">
        <v>93</v>
      </c>
      <c r="R1" t="s">
        <v>94</v>
      </c>
      <c r="S1" t="s">
        <v>95</v>
      </c>
    </row>
    <row r="2" spans="3:19" x14ac:dyDescent="0.3">
      <c r="C2" t="s">
        <v>9</v>
      </c>
      <c r="D2" s="14">
        <v>45293</v>
      </c>
      <c r="E2" s="14" t="str">
        <f>TEXT(D2,"ddd")</f>
        <v>Tue</v>
      </c>
      <c r="F2" s="14" t="str">
        <f>IF(OR(E2="Sat",E2="Sun"),"weekday","weekend")</f>
        <v>weekend</v>
      </c>
      <c r="G2" s="14" t="str">
        <f>TEXT(D2,"mmm")</f>
        <v>Jan</v>
      </c>
      <c r="H2" t="s">
        <v>11</v>
      </c>
      <c r="I2" t="s">
        <v>12</v>
      </c>
      <c r="J2" t="s">
        <v>15</v>
      </c>
      <c r="K2">
        <v>5</v>
      </c>
      <c r="L2">
        <v>60</v>
      </c>
      <c r="M2">
        <v>300</v>
      </c>
      <c r="N2">
        <f>L2*M2</f>
        <v>18000</v>
      </c>
      <c r="O2">
        <v>30</v>
      </c>
      <c r="P2">
        <v>270</v>
      </c>
      <c r="Q2" s="15">
        <v>0.1</v>
      </c>
      <c r="R2" t="s">
        <v>97</v>
      </c>
      <c r="S2" t="str">
        <f>IF(M2&gt;140,"high","law")</f>
        <v>high</v>
      </c>
    </row>
    <row r="3" spans="3:19" x14ac:dyDescent="0.3">
      <c r="C3" t="s">
        <v>16</v>
      </c>
      <c r="D3" s="14">
        <v>45324</v>
      </c>
      <c r="E3" s="14" t="str">
        <f t="shared" ref="E3:E26" si="0">TEXT(D3,"ddd")</f>
        <v>Fri</v>
      </c>
      <c r="F3" s="14" t="str">
        <f t="shared" ref="F3:F27" si="1">IF(OR(E3="Sat",E3="Sun"),"weekday","weekend")</f>
        <v>weekend</v>
      </c>
      <c r="G3" s="14" t="str">
        <f t="shared" ref="G3:G26" si="2">TEXT(D3,"mmm")</f>
        <v>Feb</v>
      </c>
      <c r="H3" t="s">
        <v>17</v>
      </c>
      <c r="I3" t="s">
        <v>45</v>
      </c>
      <c r="J3" t="s">
        <v>15</v>
      </c>
      <c r="K3">
        <v>3</v>
      </c>
      <c r="L3">
        <v>55</v>
      </c>
      <c r="M3">
        <v>165</v>
      </c>
      <c r="N3">
        <f t="shared" ref="N3:N25" si="3">L3*M3</f>
        <v>9075</v>
      </c>
      <c r="O3">
        <v>8.25</v>
      </c>
      <c r="P3">
        <v>156.75</v>
      </c>
      <c r="Q3" s="15">
        <v>0.05</v>
      </c>
      <c r="S3" t="str">
        <f t="shared" ref="S3:S27" si="4">IF(M3&gt;140,"high","law")</f>
        <v>high</v>
      </c>
    </row>
    <row r="4" spans="3:19" x14ac:dyDescent="0.3">
      <c r="C4" t="s">
        <v>19</v>
      </c>
      <c r="D4" s="14">
        <v>45353</v>
      </c>
      <c r="E4" s="14" t="str">
        <f t="shared" si="0"/>
        <v>Sat</v>
      </c>
      <c r="F4" s="14" t="str">
        <f t="shared" si="1"/>
        <v>weekday</v>
      </c>
      <c r="G4" s="14" t="str">
        <f t="shared" si="2"/>
        <v>Mar</v>
      </c>
      <c r="H4" t="s">
        <v>11</v>
      </c>
      <c r="I4" t="s">
        <v>20</v>
      </c>
      <c r="J4" t="s">
        <v>15</v>
      </c>
      <c r="K4">
        <v>2</v>
      </c>
      <c r="L4">
        <v>45</v>
      </c>
      <c r="M4">
        <v>90</v>
      </c>
      <c r="N4">
        <f t="shared" si="3"/>
        <v>4050</v>
      </c>
      <c r="O4">
        <v>0</v>
      </c>
      <c r="P4">
        <v>90</v>
      </c>
      <c r="Q4">
        <v>1</v>
      </c>
      <c r="S4" t="str">
        <f t="shared" si="4"/>
        <v>law</v>
      </c>
    </row>
    <row r="5" spans="3:19" x14ac:dyDescent="0.3">
      <c r="C5" t="s">
        <v>22</v>
      </c>
      <c r="D5" s="14">
        <v>45384</v>
      </c>
      <c r="E5" s="14" t="str">
        <f t="shared" si="0"/>
        <v>Tue</v>
      </c>
      <c r="F5" s="14" t="str">
        <f t="shared" si="1"/>
        <v>weekend</v>
      </c>
      <c r="G5" s="14" t="str">
        <f t="shared" si="2"/>
        <v>Apr</v>
      </c>
      <c r="H5" t="s">
        <v>17</v>
      </c>
      <c r="I5" t="s">
        <v>23</v>
      </c>
      <c r="J5" t="s">
        <v>25</v>
      </c>
      <c r="K5">
        <v>11</v>
      </c>
      <c r="L5">
        <v>28</v>
      </c>
      <c r="M5">
        <v>308</v>
      </c>
      <c r="N5">
        <f t="shared" si="3"/>
        <v>8624</v>
      </c>
      <c r="O5">
        <v>0</v>
      </c>
      <c r="P5">
        <v>308</v>
      </c>
      <c r="Q5" s="15">
        <v>0.01</v>
      </c>
      <c r="S5" t="str">
        <f t="shared" si="4"/>
        <v>high</v>
      </c>
    </row>
    <row r="6" spans="3:19" x14ac:dyDescent="0.3">
      <c r="C6" t="s">
        <v>26</v>
      </c>
      <c r="D6" s="14">
        <v>45335</v>
      </c>
      <c r="E6" s="14" t="str">
        <f t="shared" si="0"/>
        <v>Tue</v>
      </c>
      <c r="F6" s="14" t="str">
        <f t="shared" si="1"/>
        <v>weekend</v>
      </c>
      <c r="G6" s="14" t="str">
        <f t="shared" si="2"/>
        <v>Feb</v>
      </c>
      <c r="H6" t="s">
        <v>11</v>
      </c>
      <c r="I6" t="s">
        <v>27</v>
      </c>
      <c r="J6" t="s">
        <v>30</v>
      </c>
      <c r="K6">
        <v>2</v>
      </c>
      <c r="L6">
        <v>220</v>
      </c>
      <c r="M6">
        <v>440</v>
      </c>
      <c r="N6">
        <f t="shared" si="3"/>
        <v>96800</v>
      </c>
      <c r="O6">
        <v>66</v>
      </c>
      <c r="P6">
        <v>374</v>
      </c>
      <c r="Q6" s="15">
        <v>0.15</v>
      </c>
      <c r="S6" t="str">
        <f t="shared" si="4"/>
        <v>high</v>
      </c>
    </row>
    <row r="7" spans="3:19" x14ac:dyDescent="0.3">
      <c r="C7" t="s">
        <v>31</v>
      </c>
      <c r="D7" s="14">
        <v>45445</v>
      </c>
      <c r="E7" s="14" t="str">
        <f t="shared" si="0"/>
        <v>Sun</v>
      </c>
      <c r="F7" s="14" t="str">
        <f t="shared" si="1"/>
        <v>weekday</v>
      </c>
      <c r="G7" s="14" t="str">
        <f t="shared" si="2"/>
        <v>Jun</v>
      </c>
      <c r="H7" t="s">
        <v>17</v>
      </c>
      <c r="I7" t="s">
        <v>32</v>
      </c>
      <c r="J7" t="s">
        <v>25</v>
      </c>
      <c r="K7">
        <v>1</v>
      </c>
      <c r="L7">
        <v>180</v>
      </c>
      <c r="M7">
        <v>180</v>
      </c>
      <c r="N7">
        <f t="shared" si="3"/>
        <v>32400</v>
      </c>
      <c r="O7">
        <v>9</v>
      </c>
      <c r="P7">
        <v>171</v>
      </c>
      <c r="Q7" s="15">
        <v>0.05</v>
      </c>
      <c r="S7" t="str">
        <f t="shared" si="4"/>
        <v>high</v>
      </c>
    </row>
    <row r="8" spans="3:19" x14ac:dyDescent="0.3">
      <c r="C8" t="s">
        <v>34</v>
      </c>
      <c r="D8" s="14">
        <v>45475</v>
      </c>
      <c r="E8" s="14" t="str">
        <f t="shared" si="0"/>
        <v>Tue</v>
      </c>
      <c r="F8" s="14" t="str">
        <f t="shared" si="1"/>
        <v>weekend</v>
      </c>
      <c r="G8" s="14" t="str">
        <f t="shared" si="2"/>
        <v>Jul</v>
      </c>
      <c r="H8" t="s">
        <v>11</v>
      </c>
      <c r="I8" t="s">
        <v>35</v>
      </c>
      <c r="J8" t="s">
        <v>38</v>
      </c>
      <c r="K8">
        <v>4</v>
      </c>
      <c r="L8">
        <v>35</v>
      </c>
      <c r="M8">
        <v>140</v>
      </c>
      <c r="N8">
        <f t="shared" si="3"/>
        <v>4900</v>
      </c>
      <c r="O8">
        <v>0</v>
      </c>
      <c r="P8">
        <v>140</v>
      </c>
      <c r="Q8" s="15">
        <v>0</v>
      </c>
      <c r="S8" t="str">
        <f t="shared" si="4"/>
        <v>law</v>
      </c>
    </row>
    <row r="9" spans="3:19" x14ac:dyDescent="0.3">
      <c r="C9" t="s">
        <v>39</v>
      </c>
      <c r="D9" s="14">
        <v>45506</v>
      </c>
      <c r="E9" s="14" t="str">
        <f t="shared" si="0"/>
        <v>Fri</v>
      </c>
      <c r="F9" s="14" t="str">
        <f t="shared" si="1"/>
        <v>weekend</v>
      </c>
      <c r="G9" s="14" t="str">
        <f t="shared" si="2"/>
        <v>Aug</v>
      </c>
      <c r="H9" t="s">
        <v>17</v>
      </c>
      <c r="I9" t="s">
        <v>40</v>
      </c>
      <c r="J9" t="s">
        <v>38</v>
      </c>
      <c r="K9">
        <v>1</v>
      </c>
      <c r="L9">
        <v>450</v>
      </c>
      <c r="M9">
        <v>450</v>
      </c>
      <c r="N9">
        <f t="shared" si="3"/>
        <v>202500</v>
      </c>
      <c r="O9">
        <v>90</v>
      </c>
      <c r="P9">
        <v>360</v>
      </c>
      <c r="Q9" s="15">
        <v>0.2</v>
      </c>
      <c r="S9" t="str">
        <f t="shared" si="4"/>
        <v>high</v>
      </c>
    </row>
    <row r="10" spans="3:19" x14ac:dyDescent="0.3">
      <c r="C10" t="s">
        <v>43</v>
      </c>
      <c r="D10" s="14">
        <v>45537</v>
      </c>
      <c r="E10" s="14" t="str">
        <f t="shared" si="0"/>
        <v>Mon</v>
      </c>
      <c r="F10" s="14" t="str">
        <f t="shared" si="1"/>
        <v>weekend</v>
      </c>
      <c r="G10" s="14" t="str">
        <f t="shared" si="2"/>
        <v>Sep</v>
      </c>
      <c r="H10" t="s">
        <v>11</v>
      </c>
      <c r="I10" t="s">
        <v>12</v>
      </c>
      <c r="J10" t="s">
        <v>25</v>
      </c>
      <c r="K10">
        <v>2</v>
      </c>
      <c r="L10">
        <v>28</v>
      </c>
      <c r="M10">
        <v>56</v>
      </c>
      <c r="N10">
        <f t="shared" si="3"/>
        <v>1568</v>
      </c>
      <c r="O10">
        <v>0</v>
      </c>
      <c r="P10">
        <v>56</v>
      </c>
      <c r="Q10" s="15">
        <v>0.01</v>
      </c>
      <c r="S10" t="str">
        <f t="shared" si="4"/>
        <v>law</v>
      </c>
    </row>
    <row r="11" spans="3:19" x14ac:dyDescent="0.3">
      <c r="C11" t="s">
        <v>44</v>
      </c>
      <c r="D11" s="14">
        <v>45567</v>
      </c>
      <c r="E11" s="14" t="str">
        <f t="shared" si="0"/>
        <v>Wed</v>
      </c>
      <c r="F11" s="14" t="str">
        <f t="shared" si="1"/>
        <v>weekend</v>
      </c>
      <c r="G11" s="14" t="str">
        <f t="shared" si="2"/>
        <v>Oct</v>
      </c>
      <c r="H11" t="s">
        <v>17</v>
      </c>
      <c r="I11" t="s">
        <v>45</v>
      </c>
      <c r="J11" t="s">
        <v>15</v>
      </c>
      <c r="K11">
        <v>5</v>
      </c>
      <c r="L11">
        <v>60</v>
      </c>
      <c r="M11">
        <v>300</v>
      </c>
      <c r="N11">
        <f t="shared" si="3"/>
        <v>18000</v>
      </c>
      <c r="O11">
        <v>30</v>
      </c>
      <c r="P11">
        <v>270</v>
      </c>
      <c r="Q11" s="15">
        <v>0.1</v>
      </c>
      <c r="S11" t="str">
        <f t="shared" si="4"/>
        <v>high</v>
      </c>
    </row>
    <row r="12" spans="3:19" x14ac:dyDescent="0.3">
      <c r="C12" t="s">
        <v>46</v>
      </c>
      <c r="D12" s="14">
        <v>45598</v>
      </c>
      <c r="E12" s="14" t="str">
        <f t="shared" si="0"/>
        <v>Sat</v>
      </c>
      <c r="F12" s="14" t="str">
        <f t="shared" si="1"/>
        <v>weekday</v>
      </c>
      <c r="G12" s="14" t="str">
        <f t="shared" si="2"/>
        <v>Nov</v>
      </c>
      <c r="H12" t="s">
        <v>11</v>
      </c>
      <c r="I12" t="s">
        <v>20</v>
      </c>
      <c r="J12" t="s">
        <v>15</v>
      </c>
      <c r="K12">
        <v>1</v>
      </c>
      <c r="L12">
        <v>55</v>
      </c>
      <c r="M12">
        <v>55</v>
      </c>
      <c r="N12">
        <f t="shared" si="3"/>
        <v>3025</v>
      </c>
      <c r="O12">
        <v>0</v>
      </c>
      <c r="P12">
        <v>55</v>
      </c>
      <c r="Q12" s="15">
        <v>0.01</v>
      </c>
      <c r="S12" t="str">
        <f t="shared" si="4"/>
        <v>law</v>
      </c>
    </row>
    <row r="13" spans="3:19" x14ac:dyDescent="0.3">
      <c r="C13" t="s">
        <v>47</v>
      </c>
      <c r="D13" s="14">
        <v>45628</v>
      </c>
      <c r="E13" s="14" t="str">
        <f t="shared" si="0"/>
        <v>Mon</v>
      </c>
      <c r="F13" s="14" t="str">
        <f t="shared" si="1"/>
        <v>weekend</v>
      </c>
      <c r="G13" s="14" t="str">
        <f t="shared" si="2"/>
        <v>Dec</v>
      </c>
      <c r="H13" t="s">
        <v>17</v>
      </c>
      <c r="I13" t="s">
        <v>48</v>
      </c>
      <c r="J13" t="s">
        <v>15</v>
      </c>
      <c r="K13">
        <v>3</v>
      </c>
      <c r="L13">
        <v>45</v>
      </c>
      <c r="M13">
        <v>135</v>
      </c>
      <c r="N13">
        <f t="shared" si="3"/>
        <v>6075</v>
      </c>
      <c r="O13">
        <v>6.75</v>
      </c>
      <c r="P13">
        <v>128.25</v>
      </c>
      <c r="Q13" s="15">
        <v>0.05</v>
      </c>
      <c r="S13" t="str">
        <f t="shared" si="4"/>
        <v>law</v>
      </c>
    </row>
    <row r="14" spans="3:19" x14ac:dyDescent="0.3">
      <c r="C14" t="s">
        <v>49</v>
      </c>
      <c r="D14" s="14">
        <v>45335</v>
      </c>
      <c r="E14" s="14" t="str">
        <f t="shared" si="0"/>
        <v>Tue</v>
      </c>
      <c r="F14" s="14" t="str">
        <f t="shared" si="1"/>
        <v>weekend</v>
      </c>
      <c r="G14" s="14" t="str">
        <f t="shared" si="2"/>
        <v>Feb</v>
      </c>
      <c r="H14" t="s">
        <v>11</v>
      </c>
      <c r="I14" t="s">
        <v>50</v>
      </c>
      <c r="J14" t="s">
        <v>25</v>
      </c>
      <c r="K14">
        <v>1</v>
      </c>
      <c r="L14">
        <v>220</v>
      </c>
      <c r="M14">
        <v>220</v>
      </c>
      <c r="N14">
        <f t="shared" si="3"/>
        <v>48400</v>
      </c>
      <c r="O14">
        <v>0</v>
      </c>
      <c r="P14">
        <v>220</v>
      </c>
      <c r="Q14" s="15">
        <v>0.01</v>
      </c>
      <c r="S14" t="str">
        <f t="shared" si="4"/>
        <v>high</v>
      </c>
    </row>
    <row r="15" spans="3:19" x14ac:dyDescent="0.3">
      <c r="C15" t="s">
        <v>51</v>
      </c>
      <c r="D15" s="14">
        <v>45336</v>
      </c>
      <c r="E15" s="14" t="str">
        <f t="shared" si="0"/>
        <v>Wed</v>
      </c>
      <c r="F15" s="14" t="str">
        <f t="shared" si="1"/>
        <v>weekend</v>
      </c>
      <c r="G15" s="14" t="str">
        <f t="shared" si="2"/>
        <v>Feb</v>
      </c>
      <c r="H15" t="s">
        <v>17</v>
      </c>
      <c r="I15" t="s">
        <v>52</v>
      </c>
      <c r="J15" t="s">
        <v>38</v>
      </c>
      <c r="K15">
        <v>2</v>
      </c>
      <c r="L15">
        <v>35</v>
      </c>
      <c r="M15">
        <v>70</v>
      </c>
      <c r="N15">
        <f t="shared" si="3"/>
        <v>2450</v>
      </c>
      <c r="O15">
        <v>0</v>
      </c>
      <c r="P15">
        <v>70</v>
      </c>
      <c r="Q15" s="15">
        <v>0.01</v>
      </c>
      <c r="S15" t="str">
        <f t="shared" si="4"/>
        <v>law</v>
      </c>
    </row>
    <row r="16" spans="3:19" x14ac:dyDescent="0.3">
      <c r="C16" t="s">
        <v>53</v>
      </c>
      <c r="D16" s="14">
        <v>45337</v>
      </c>
      <c r="E16" s="14" t="str">
        <f t="shared" si="0"/>
        <v>Thu</v>
      </c>
      <c r="F16" s="14" t="str">
        <f t="shared" si="1"/>
        <v>weekend</v>
      </c>
      <c r="G16" s="14" t="str">
        <f t="shared" si="2"/>
        <v>Feb</v>
      </c>
      <c r="H16" t="s">
        <v>11</v>
      </c>
      <c r="I16" t="s">
        <v>12</v>
      </c>
      <c r="J16" t="s">
        <v>25</v>
      </c>
      <c r="K16">
        <v>3</v>
      </c>
      <c r="L16">
        <v>180</v>
      </c>
      <c r="M16">
        <v>540</v>
      </c>
      <c r="N16">
        <f t="shared" si="3"/>
        <v>97200</v>
      </c>
      <c r="O16">
        <v>54</v>
      </c>
      <c r="P16">
        <v>486</v>
      </c>
      <c r="Q16" s="15">
        <v>0.1</v>
      </c>
      <c r="S16" t="str">
        <f t="shared" si="4"/>
        <v>high</v>
      </c>
    </row>
    <row r="17" spans="3:19" x14ac:dyDescent="0.3">
      <c r="C17" t="s">
        <v>54</v>
      </c>
      <c r="D17" s="14">
        <v>45338</v>
      </c>
      <c r="E17" s="14" t="str">
        <f t="shared" si="0"/>
        <v>Fri</v>
      </c>
      <c r="F17" s="14" t="str">
        <f t="shared" si="1"/>
        <v>weekend</v>
      </c>
      <c r="G17" s="14" t="str">
        <f t="shared" si="2"/>
        <v>Feb</v>
      </c>
      <c r="H17" t="s">
        <v>17</v>
      </c>
      <c r="I17" t="s">
        <v>20</v>
      </c>
      <c r="J17" t="s">
        <v>38</v>
      </c>
      <c r="K17">
        <v>2</v>
      </c>
      <c r="L17">
        <v>450</v>
      </c>
      <c r="M17">
        <v>900</v>
      </c>
      <c r="N17">
        <f t="shared" si="3"/>
        <v>405000</v>
      </c>
      <c r="O17">
        <v>225</v>
      </c>
      <c r="P17">
        <v>675</v>
      </c>
      <c r="Q17" s="15">
        <v>0.25</v>
      </c>
      <c r="S17" t="str">
        <f t="shared" si="4"/>
        <v>high</v>
      </c>
    </row>
    <row r="18" spans="3:19" x14ac:dyDescent="0.3">
      <c r="C18" t="s">
        <v>55</v>
      </c>
      <c r="D18" s="14">
        <v>45339</v>
      </c>
      <c r="E18" s="14" t="str">
        <f t="shared" si="0"/>
        <v>Sat</v>
      </c>
      <c r="F18" s="14" t="str">
        <f t="shared" si="1"/>
        <v>weekday</v>
      </c>
      <c r="G18" s="14" t="str">
        <f t="shared" si="2"/>
        <v>Feb</v>
      </c>
      <c r="H18" t="s">
        <v>11</v>
      </c>
      <c r="I18" t="s">
        <v>45</v>
      </c>
      <c r="J18" t="s">
        <v>25</v>
      </c>
      <c r="K18">
        <v>100</v>
      </c>
      <c r="L18">
        <v>28</v>
      </c>
      <c r="M18">
        <v>2800</v>
      </c>
      <c r="N18">
        <f t="shared" si="3"/>
        <v>78400</v>
      </c>
      <c r="O18">
        <v>0</v>
      </c>
      <c r="P18">
        <v>2800</v>
      </c>
      <c r="Q18" s="15">
        <v>0.01</v>
      </c>
      <c r="S18" t="str">
        <f t="shared" si="4"/>
        <v>high</v>
      </c>
    </row>
    <row r="19" spans="3:19" x14ac:dyDescent="0.3">
      <c r="C19" t="s">
        <v>56</v>
      </c>
      <c r="D19" s="14">
        <v>45340</v>
      </c>
      <c r="E19" s="14" t="str">
        <f t="shared" si="0"/>
        <v>Sun</v>
      </c>
      <c r="F19" s="14" t="str">
        <f t="shared" si="1"/>
        <v>weekday</v>
      </c>
      <c r="G19" s="14" t="str">
        <f t="shared" si="2"/>
        <v>Feb</v>
      </c>
      <c r="H19" t="s">
        <v>17</v>
      </c>
      <c r="I19" t="s">
        <v>57</v>
      </c>
      <c r="J19" t="s">
        <v>15</v>
      </c>
      <c r="K19">
        <v>4</v>
      </c>
      <c r="L19">
        <v>60</v>
      </c>
      <c r="M19">
        <v>240</v>
      </c>
      <c r="N19">
        <f t="shared" si="3"/>
        <v>14400</v>
      </c>
      <c r="O19">
        <v>12</v>
      </c>
      <c r="P19">
        <v>228</v>
      </c>
      <c r="Q19" s="15">
        <v>0.05</v>
      </c>
      <c r="S19" t="str">
        <f t="shared" si="4"/>
        <v>high</v>
      </c>
    </row>
    <row r="20" spans="3:19" x14ac:dyDescent="0.3">
      <c r="C20" t="s">
        <v>58</v>
      </c>
      <c r="D20" s="14">
        <v>45341</v>
      </c>
      <c r="E20" s="14" t="str">
        <f t="shared" si="0"/>
        <v>Mon</v>
      </c>
      <c r="F20" s="14" t="str">
        <f t="shared" si="1"/>
        <v>weekend</v>
      </c>
      <c r="G20" s="14" t="str">
        <f t="shared" si="2"/>
        <v>Feb</v>
      </c>
      <c r="H20" t="s">
        <v>11</v>
      </c>
      <c r="I20" t="s">
        <v>59</v>
      </c>
      <c r="J20" t="s">
        <v>15</v>
      </c>
      <c r="K20">
        <v>2</v>
      </c>
      <c r="L20">
        <v>55</v>
      </c>
      <c r="M20">
        <v>110</v>
      </c>
      <c r="N20">
        <f t="shared" si="3"/>
        <v>6050</v>
      </c>
      <c r="O20">
        <v>0</v>
      </c>
      <c r="P20">
        <v>110</v>
      </c>
      <c r="Q20" s="15">
        <v>0.01</v>
      </c>
      <c r="S20" t="str">
        <f t="shared" si="4"/>
        <v>law</v>
      </c>
    </row>
    <row r="21" spans="3:19" x14ac:dyDescent="0.3">
      <c r="C21" t="s">
        <v>60</v>
      </c>
      <c r="D21" s="14">
        <v>45342</v>
      </c>
      <c r="E21" s="14" t="str">
        <f t="shared" si="0"/>
        <v>Tue</v>
      </c>
      <c r="F21" s="14" t="str">
        <f t="shared" si="1"/>
        <v>weekend</v>
      </c>
      <c r="G21" s="14" t="str">
        <f t="shared" si="2"/>
        <v>Feb</v>
      </c>
      <c r="H21" t="s">
        <v>17</v>
      </c>
      <c r="I21" t="s">
        <v>61</v>
      </c>
      <c r="J21" t="s">
        <v>15</v>
      </c>
      <c r="K21">
        <v>2</v>
      </c>
      <c r="L21">
        <v>45</v>
      </c>
      <c r="M21">
        <v>90</v>
      </c>
      <c r="N21">
        <f t="shared" si="3"/>
        <v>4050</v>
      </c>
      <c r="O21">
        <v>0</v>
      </c>
      <c r="P21">
        <v>90</v>
      </c>
      <c r="Q21" s="15">
        <v>0.01</v>
      </c>
      <c r="S21" t="str">
        <f t="shared" si="4"/>
        <v>law</v>
      </c>
    </row>
    <row r="22" spans="3:19" x14ac:dyDescent="0.3">
      <c r="C22" t="s">
        <v>62</v>
      </c>
      <c r="D22" s="14">
        <v>45343</v>
      </c>
      <c r="E22" s="14" t="str">
        <f t="shared" si="0"/>
        <v>Wed</v>
      </c>
      <c r="F22" s="14" t="str">
        <f t="shared" si="1"/>
        <v>weekend</v>
      </c>
      <c r="G22" s="14" t="str">
        <f t="shared" si="2"/>
        <v>Feb</v>
      </c>
      <c r="H22" t="s">
        <v>11</v>
      </c>
      <c r="I22" t="s">
        <v>63</v>
      </c>
      <c r="J22" t="s">
        <v>38</v>
      </c>
      <c r="K22">
        <v>3</v>
      </c>
      <c r="L22">
        <v>35</v>
      </c>
      <c r="M22">
        <v>105</v>
      </c>
      <c r="N22">
        <f t="shared" si="3"/>
        <v>3675</v>
      </c>
      <c r="O22">
        <v>0</v>
      </c>
      <c r="P22">
        <v>105</v>
      </c>
      <c r="Q22" s="15">
        <v>0.01</v>
      </c>
      <c r="S22" t="str">
        <f t="shared" si="4"/>
        <v>law</v>
      </c>
    </row>
    <row r="23" spans="3:19" x14ac:dyDescent="0.3">
      <c r="C23" t="s">
        <v>64</v>
      </c>
      <c r="D23" s="14">
        <v>45344</v>
      </c>
      <c r="E23" s="14" t="str">
        <f t="shared" si="0"/>
        <v>Thu</v>
      </c>
      <c r="F23" s="14" t="str">
        <f t="shared" si="1"/>
        <v>weekend</v>
      </c>
      <c r="G23" s="14" t="str">
        <f t="shared" si="2"/>
        <v>Feb</v>
      </c>
      <c r="H23" t="s">
        <v>17</v>
      </c>
      <c r="I23" t="s">
        <v>35</v>
      </c>
      <c r="J23" t="s">
        <v>38</v>
      </c>
      <c r="K23">
        <v>1</v>
      </c>
      <c r="L23">
        <v>450</v>
      </c>
      <c r="M23">
        <v>450</v>
      </c>
      <c r="N23">
        <f t="shared" si="3"/>
        <v>202500</v>
      </c>
      <c r="O23">
        <v>45</v>
      </c>
      <c r="P23">
        <v>405</v>
      </c>
      <c r="Q23" s="15">
        <v>0.1</v>
      </c>
      <c r="S23" t="str">
        <f t="shared" si="4"/>
        <v>high</v>
      </c>
    </row>
    <row r="24" spans="3:19" x14ac:dyDescent="0.3">
      <c r="C24" t="s">
        <v>65</v>
      </c>
      <c r="D24" s="14">
        <v>45345</v>
      </c>
      <c r="E24" s="14" t="str">
        <f t="shared" si="0"/>
        <v>Fri</v>
      </c>
      <c r="F24" s="14" t="str">
        <f t="shared" si="1"/>
        <v>weekend</v>
      </c>
      <c r="G24" s="14" t="str">
        <f t="shared" si="2"/>
        <v>Feb</v>
      </c>
      <c r="H24" t="s">
        <v>11</v>
      </c>
      <c r="I24" t="s">
        <v>20</v>
      </c>
      <c r="J24" t="s">
        <v>25</v>
      </c>
      <c r="K24">
        <v>2</v>
      </c>
      <c r="L24">
        <v>28</v>
      </c>
      <c r="M24">
        <v>56</v>
      </c>
      <c r="N24">
        <f t="shared" si="3"/>
        <v>1568</v>
      </c>
      <c r="O24">
        <v>0</v>
      </c>
      <c r="P24">
        <v>56</v>
      </c>
      <c r="Q24" s="15">
        <v>0.01</v>
      </c>
      <c r="S24" t="str">
        <f t="shared" si="4"/>
        <v>law</v>
      </c>
    </row>
    <row r="25" spans="3:19" x14ac:dyDescent="0.3">
      <c r="C25" t="s">
        <v>66</v>
      </c>
      <c r="D25" s="14">
        <v>45346</v>
      </c>
      <c r="E25" s="14" t="str">
        <f t="shared" si="0"/>
        <v>Sat</v>
      </c>
      <c r="F25" s="14" t="str">
        <f t="shared" si="1"/>
        <v>weekday</v>
      </c>
      <c r="G25" s="14" t="str">
        <f t="shared" si="2"/>
        <v>Feb</v>
      </c>
      <c r="H25" t="s">
        <v>17</v>
      </c>
      <c r="I25" t="s">
        <v>12</v>
      </c>
      <c r="J25" t="s">
        <v>25</v>
      </c>
      <c r="K25">
        <v>2</v>
      </c>
      <c r="L25">
        <v>180</v>
      </c>
      <c r="M25">
        <v>360</v>
      </c>
      <c r="N25">
        <f t="shared" si="3"/>
        <v>64800</v>
      </c>
      <c r="O25">
        <v>18</v>
      </c>
      <c r="P25">
        <v>342</v>
      </c>
      <c r="Q25" s="15">
        <v>0.05</v>
      </c>
      <c r="S25" t="str">
        <f t="shared" si="4"/>
        <v>high</v>
      </c>
    </row>
    <row r="26" spans="3:19" x14ac:dyDescent="0.3">
      <c r="C26" t="s">
        <v>67</v>
      </c>
      <c r="D26" s="14">
        <v>45347</v>
      </c>
      <c r="E26" s="14" t="str">
        <f t="shared" si="0"/>
        <v>Sun</v>
      </c>
      <c r="F26" s="14" t="str">
        <f t="shared" si="1"/>
        <v>weekday</v>
      </c>
      <c r="G26" s="14" t="str">
        <f t="shared" si="2"/>
        <v>Feb</v>
      </c>
      <c r="H26" t="s">
        <v>10</v>
      </c>
      <c r="I26" t="s">
        <v>11</v>
      </c>
      <c r="J26" t="s">
        <v>14</v>
      </c>
      <c r="K26" t="s">
        <v>15</v>
      </c>
      <c r="L26">
        <v>5</v>
      </c>
      <c r="M26">
        <v>60</v>
      </c>
      <c r="N26">
        <v>300</v>
      </c>
      <c r="O26">
        <f>M26*N26</f>
        <v>18000</v>
      </c>
      <c r="P26">
        <v>30</v>
      </c>
      <c r="Q26" s="15">
        <v>0.1</v>
      </c>
      <c r="R26" t="s">
        <v>86</v>
      </c>
      <c r="S26" t="str">
        <f t="shared" si="4"/>
        <v>law</v>
      </c>
    </row>
    <row r="27" spans="3:19" x14ac:dyDescent="0.3">
      <c r="F27" s="14" t="str">
        <f t="shared" si="1"/>
        <v>weekend</v>
      </c>
      <c r="G27" s="14"/>
      <c r="S27" t="str">
        <f t="shared" si="4"/>
        <v>law</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3:B15"/>
  <sheetViews>
    <sheetView workbookViewId="0">
      <selection activeCell="B30" sqref="B30"/>
    </sheetView>
  </sheetViews>
  <sheetFormatPr defaultRowHeight="14.4" x14ac:dyDescent="0.3"/>
  <cols>
    <col min="1" max="1" width="12.5546875" bestFit="1" customWidth="1"/>
    <col min="2" max="2" width="15.88671875" bestFit="1" customWidth="1"/>
  </cols>
  <sheetData>
    <row r="3" spans="1:2" x14ac:dyDescent="0.3">
      <c r="A3" s="1" t="s">
        <v>70</v>
      </c>
      <c r="B3" t="s">
        <v>83</v>
      </c>
    </row>
    <row r="4" spans="1:2" x14ac:dyDescent="0.3">
      <c r="A4" s="2" t="s">
        <v>71</v>
      </c>
      <c r="B4" s="3">
        <v>300</v>
      </c>
    </row>
    <row r="5" spans="1:2" x14ac:dyDescent="0.3">
      <c r="A5" s="2" t="s">
        <v>72</v>
      </c>
      <c r="B5" s="3">
        <v>6846</v>
      </c>
    </row>
    <row r="6" spans="1:2" x14ac:dyDescent="0.3">
      <c r="A6" s="2" t="s">
        <v>73</v>
      </c>
      <c r="B6" s="3">
        <v>90</v>
      </c>
    </row>
    <row r="7" spans="1:2" x14ac:dyDescent="0.3">
      <c r="A7" s="2" t="s">
        <v>74</v>
      </c>
      <c r="B7" s="3">
        <v>308</v>
      </c>
    </row>
    <row r="8" spans="1:2" x14ac:dyDescent="0.3">
      <c r="A8" s="2" t="s">
        <v>75</v>
      </c>
      <c r="B8" s="3">
        <v>180</v>
      </c>
    </row>
    <row r="9" spans="1:2" x14ac:dyDescent="0.3">
      <c r="A9" s="2" t="s">
        <v>76</v>
      </c>
      <c r="B9" s="3">
        <v>140</v>
      </c>
    </row>
    <row r="10" spans="1:2" x14ac:dyDescent="0.3">
      <c r="A10" s="2" t="s">
        <v>77</v>
      </c>
      <c r="B10" s="3">
        <v>450</v>
      </c>
    </row>
    <row r="11" spans="1:2" x14ac:dyDescent="0.3">
      <c r="A11" s="2" t="s">
        <v>78</v>
      </c>
      <c r="B11" s="3">
        <v>56</v>
      </c>
    </row>
    <row r="12" spans="1:2" x14ac:dyDescent="0.3">
      <c r="A12" s="2" t="s">
        <v>79</v>
      </c>
      <c r="B12" s="3">
        <v>300</v>
      </c>
    </row>
    <row r="13" spans="1:2" x14ac:dyDescent="0.3">
      <c r="A13" s="2" t="s">
        <v>80</v>
      </c>
      <c r="B13" s="3">
        <v>55</v>
      </c>
    </row>
    <row r="14" spans="1:2" x14ac:dyDescent="0.3">
      <c r="A14" s="2" t="s">
        <v>81</v>
      </c>
      <c r="B14" s="3">
        <v>135</v>
      </c>
    </row>
    <row r="15" spans="1:2" x14ac:dyDescent="0.3">
      <c r="A15" s="2" t="s">
        <v>82</v>
      </c>
      <c r="B15" s="3">
        <v>8860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3:B18"/>
  <sheetViews>
    <sheetView workbookViewId="0">
      <selection activeCell="B9" sqref="B9"/>
    </sheetView>
  </sheetViews>
  <sheetFormatPr defaultRowHeight="14.4" x14ac:dyDescent="0.3"/>
  <cols>
    <col min="1" max="1" width="12.5546875" bestFit="1" customWidth="1"/>
    <col min="2" max="2" width="18" bestFit="1" customWidth="1"/>
    <col min="3" max="3" width="14.77734375" bestFit="1" customWidth="1"/>
  </cols>
  <sheetData>
    <row r="3" spans="1:2" x14ac:dyDescent="0.3">
      <c r="A3" s="1" t="s">
        <v>70</v>
      </c>
      <c r="B3" t="s">
        <v>89</v>
      </c>
    </row>
    <row r="4" spans="1:2" x14ac:dyDescent="0.3">
      <c r="A4" s="2" t="s">
        <v>45</v>
      </c>
      <c r="B4" s="3">
        <v>1075.5833333333333</v>
      </c>
    </row>
    <row r="5" spans="1:2" x14ac:dyDescent="0.3">
      <c r="A5" s="2" t="s">
        <v>27</v>
      </c>
      <c r="B5" s="3">
        <v>374</v>
      </c>
    </row>
    <row r="6" spans="1:2" x14ac:dyDescent="0.3">
      <c r="A6" s="2" t="s">
        <v>40</v>
      </c>
      <c r="B6" s="3">
        <v>360</v>
      </c>
    </row>
    <row r="7" spans="1:2" x14ac:dyDescent="0.3">
      <c r="A7" s="2" t="s">
        <v>23</v>
      </c>
      <c r="B7" s="3">
        <v>308</v>
      </c>
    </row>
    <row r="8" spans="1:2" x14ac:dyDescent="0.3">
      <c r="A8" s="2" t="s">
        <v>12</v>
      </c>
      <c r="B8" s="3">
        <v>284.8</v>
      </c>
    </row>
    <row r="9" spans="1:2" x14ac:dyDescent="0.3">
      <c r="A9" s="2" t="s">
        <v>35</v>
      </c>
      <c r="B9" s="3">
        <v>272.5</v>
      </c>
    </row>
    <row r="10" spans="1:2" x14ac:dyDescent="0.3">
      <c r="A10" s="2" t="s">
        <v>57</v>
      </c>
      <c r="B10" s="3">
        <v>228</v>
      </c>
    </row>
    <row r="11" spans="1:2" x14ac:dyDescent="0.3">
      <c r="A11" s="2" t="s">
        <v>50</v>
      </c>
      <c r="B11" s="3">
        <v>220</v>
      </c>
    </row>
    <row r="12" spans="1:2" x14ac:dyDescent="0.3">
      <c r="A12" s="2" t="s">
        <v>20</v>
      </c>
      <c r="B12" s="3">
        <v>219</v>
      </c>
    </row>
    <row r="13" spans="1:2" x14ac:dyDescent="0.3">
      <c r="A13" s="2" t="s">
        <v>32</v>
      </c>
      <c r="B13" s="3">
        <v>171</v>
      </c>
    </row>
    <row r="14" spans="1:2" x14ac:dyDescent="0.3">
      <c r="A14" s="2" t="s">
        <v>48</v>
      </c>
      <c r="B14" s="3">
        <v>128.25</v>
      </c>
    </row>
    <row r="15" spans="1:2" x14ac:dyDescent="0.3">
      <c r="A15" s="2" t="s">
        <v>59</v>
      </c>
      <c r="B15" s="3">
        <v>110</v>
      </c>
    </row>
    <row r="16" spans="1:2" x14ac:dyDescent="0.3">
      <c r="A16" s="2" t="s">
        <v>63</v>
      </c>
      <c r="B16" s="3">
        <v>105</v>
      </c>
    </row>
    <row r="17" spans="1:2" x14ac:dyDescent="0.3">
      <c r="A17" s="2" t="s">
        <v>61</v>
      </c>
      <c r="B17" s="3">
        <v>90</v>
      </c>
    </row>
    <row r="18" spans="1:2" x14ac:dyDescent="0.3">
      <c r="A18" s="2" t="s">
        <v>52</v>
      </c>
      <c r="B18" s="3">
        <v>70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7"/>
  <sheetViews>
    <sheetView workbookViewId="0">
      <selection activeCell="F25" sqref="F25"/>
    </sheetView>
  </sheetViews>
  <sheetFormatPr defaultRowHeight="14.4" x14ac:dyDescent="0.3"/>
  <cols>
    <col min="1" max="1" width="12.5546875" bestFit="1" customWidth="1"/>
    <col min="2" max="2" width="14.88671875" bestFit="1" customWidth="1"/>
  </cols>
  <sheetData>
    <row r="3" spans="1:2" x14ac:dyDescent="0.3">
      <c r="A3" s="1" t="s">
        <v>70</v>
      </c>
      <c r="B3" t="s">
        <v>84</v>
      </c>
    </row>
    <row r="4" spans="1:2" x14ac:dyDescent="0.3">
      <c r="A4" s="2" t="s">
        <v>38</v>
      </c>
      <c r="B4" s="3">
        <v>13</v>
      </c>
    </row>
    <row r="5" spans="1:2" x14ac:dyDescent="0.3">
      <c r="A5" s="2" t="s">
        <v>25</v>
      </c>
      <c r="B5" s="3">
        <v>124</v>
      </c>
    </row>
    <row r="6" spans="1:2" x14ac:dyDescent="0.3">
      <c r="A6" s="2" t="s">
        <v>15</v>
      </c>
      <c r="B6" s="3">
        <v>32</v>
      </c>
    </row>
    <row r="7" spans="1:2" x14ac:dyDescent="0.3">
      <c r="A7" s="2" t="s">
        <v>82</v>
      </c>
      <c r="B7" s="3">
        <v>169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Sheet1</vt:lpstr>
      <vt:lpstr>Sheet3</vt:lpstr>
      <vt:lpstr>Sheet4</vt:lpstr>
      <vt:lpstr>Sheet5</vt:lpstr>
      <vt:lpstr>high`value and low value</vt:lpstr>
      <vt:lpstr>Sales dy State</vt:lpstr>
      <vt:lpstr>Top five Product Name</vt:lpstr>
      <vt:lpstr>Discount Impact Analysis</vt:lpstr>
      <vt:lpstr>Data Analysis</vt:lpstr>
      <vt:lpstr>supermarket_data</vt:lpstr>
      <vt:lpstr>total sales by month</vt:lpstr>
      <vt:lpstr>Average order value by city</vt:lpstr>
      <vt:lpstr>category wise quantity sold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2026-01-14T12:31:34Z</dcterms:created>
  <dcterms:modified xsi:type="dcterms:W3CDTF">2026-03-15T08:59:13Z</dcterms:modified>
</cp:coreProperties>
</file>